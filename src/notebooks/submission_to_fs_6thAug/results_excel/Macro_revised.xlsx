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ainandcompany-my.sharepoint.com/personal/harshit_chopra_bain_com/Documents/Desktop/FS-ECR-repo/fs-earnings_call_reader/src/notebooks/submission_to_fs_6thAug/results_excel/"/>
    </mc:Choice>
  </mc:AlternateContent>
  <xr:revisionPtr revIDLastSave="49" documentId="11_076192B6D3305F3B93792511595ED87656CFDB39" xr6:coauthVersionLast="47" xr6:coauthVersionMax="47" xr10:uidLastSave="{88946566-9069-493D-9B65-6932569FDDAE}"/>
  <bookViews>
    <workbookView xWindow="-108" yWindow="-108" windowWidth="23256" windowHeight="13896" xr2:uid="{00000000-000D-0000-FFFF-FFFF00000000}"/>
  </bookViews>
  <sheets>
    <sheet name="Sheet1" sheetId="1" r:id="rId1"/>
    <sheet name="FS Consolidated Comments" sheetId="2" r:id="rId2"/>
  </sheets>
  <externalReferences>
    <externalReference r:id="rId3"/>
    <externalReference r:id="rId4"/>
  </externalReferences>
  <definedNames>
    <definedName name="BtfeIndexSheetTable">#REF!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a="1"/>
  <c r="F2" i="1" s="1"/>
  <c r="H2" i="1" s="1" a="1"/>
  <c r="H2" i="1" s="1"/>
  <c r="H80" i="1" a="1"/>
  <c r="H80" i="1"/>
  <c r="F3" i="1" a="1"/>
  <c r="F3" i="1" s="1"/>
  <c r="H3" i="1" s="1" a="1"/>
  <c r="H3" i="1" s="1"/>
  <c r="F4" i="1" a="1"/>
  <c r="F4" i="1" s="1"/>
  <c r="H4" i="1" s="1" a="1"/>
  <c r="H4" i="1" s="1"/>
  <c r="F5" i="1" a="1"/>
  <c r="F5" i="1" s="1"/>
  <c r="F6" i="1" a="1"/>
  <c r="F6" i="1" s="1"/>
  <c r="H6" i="1" s="1" a="1"/>
  <c r="H6" i="1" s="1"/>
  <c r="F7" i="1" a="1"/>
  <c r="F7" i="1"/>
  <c r="H7" i="1" s="1" a="1"/>
  <c r="H7" i="1" s="1"/>
  <c r="F8" i="1" a="1"/>
  <c r="F8" i="1" s="1"/>
  <c r="H8" i="1" s="1" a="1"/>
  <c r="H8" i="1" s="1"/>
  <c r="F9" i="1" a="1"/>
  <c r="F9" i="1"/>
  <c r="H9" i="1" s="1" a="1"/>
  <c r="H9" i="1" s="1"/>
  <c r="F10" i="1" a="1"/>
  <c r="F10" i="1" s="1"/>
  <c r="H10" i="1" s="1" a="1"/>
  <c r="H10" i="1" s="1"/>
  <c r="F11" i="1" a="1"/>
  <c r="F11" i="1"/>
  <c r="H11" i="1" s="1" a="1"/>
  <c r="H11" i="1" s="1"/>
  <c r="F12" i="1" a="1"/>
  <c r="F12" i="1" s="1"/>
  <c r="H12" i="1" s="1" a="1"/>
  <c r="H12" i="1" s="1"/>
  <c r="F13" i="1" a="1"/>
  <c r="F13" i="1" s="1"/>
  <c r="H13" i="1" s="1" a="1"/>
  <c r="H13" i="1" s="1"/>
  <c r="F14" i="1" a="1"/>
  <c r="F14" i="1"/>
  <c r="H14" i="1" s="1" a="1"/>
  <c r="H14" i="1" s="1"/>
  <c r="F15" i="1" a="1"/>
  <c r="F15" i="1" s="1"/>
  <c r="H15" i="1" s="1" a="1"/>
  <c r="H15" i="1" s="1"/>
  <c r="F16" i="1" a="1"/>
  <c r="F16" i="1"/>
  <c r="F17" i="1" a="1"/>
  <c r="F17" i="1" s="1"/>
  <c r="H17" i="1" s="1" a="1"/>
  <c r="H17" i="1" s="1"/>
  <c r="F18" i="1" a="1"/>
  <c r="F18" i="1" s="1"/>
  <c r="H18" i="1" s="1" a="1"/>
  <c r="H18" i="1" s="1"/>
  <c r="F19" i="1" a="1"/>
  <c r="F19" i="1" s="1"/>
  <c r="H19" i="1" s="1" a="1"/>
  <c r="H19" i="1" s="1"/>
  <c r="F20" i="1" a="1"/>
  <c r="F20" i="1"/>
  <c r="H20" i="1" s="1" a="1"/>
  <c r="H20" i="1" s="1"/>
  <c r="F21" i="1" a="1"/>
  <c r="F21" i="1"/>
  <c r="H21" i="1" s="1" a="1"/>
  <c r="H21" i="1" s="1"/>
  <c r="F22" i="1" a="1"/>
  <c r="F22" i="1"/>
  <c r="H22" i="1" s="1" a="1"/>
  <c r="H22" i="1" s="1"/>
  <c r="F23" i="1" a="1"/>
  <c r="F23" i="1" s="1"/>
  <c r="H23" i="1" s="1" a="1"/>
  <c r="H23" i="1" s="1"/>
  <c r="F24" i="1" a="1"/>
  <c r="F24" i="1" s="1"/>
  <c r="G24" i="1" s="1" a="1"/>
  <c r="G24" i="1" s="1"/>
  <c r="F25" i="1" a="1"/>
  <c r="F25" i="1"/>
  <c r="F26" i="1" a="1"/>
  <c r="F26" i="1"/>
  <c r="F27" i="1" a="1"/>
  <c r="F27" i="1"/>
  <c r="H27" i="1" s="1" a="1"/>
  <c r="H27" i="1" s="1"/>
  <c r="F28" i="1" a="1"/>
  <c r="F28" i="1"/>
  <c r="H28" i="1" s="1" a="1"/>
  <c r="H28" i="1" s="1"/>
  <c r="F29" i="1" a="1"/>
  <c r="F29" i="1" s="1"/>
  <c r="H29" i="1" s="1" a="1"/>
  <c r="H29" i="1" s="1"/>
  <c r="F30" i="1" a="1"/>
  <c r="F30" i="1"/>
  <c r="H30" i="1" s="1" a="1"/>
  <c r="H30" i="1" s="1"/>
  <c r="F31" i="1" a="1"/>
  <c r="F31" i="1" s="1"/>
  <c r="H31" i="1" s="1" a="1"/>
  <c r="H31" i="1" s="1"/>
  <c r="F32" i="1" a="1"/>
  <c r="F32" i="1"/>
  <c r="H32" i="1" s="1" a="1"/>
  <c r="H32" i="1" s="1"/>
  <c r="F33" i="1" a="1"/>
  <c r="F33" i="1"/>
  <c r="H33" i="1" s="1" a="1"/>
  <c r="H33" i="1" s="1"/>
  <c r="F34" i="1" a="1"/>
  <c r="F34" i="1"/>
  <c r="F35" i="1" a="1"/>
  <c r="F35" i="1"/>
  <c r="H35" i="1" s="1" a="1"/>
  <c r="H35" i="1" s="1"/>
  <c r="F36" i="1" a="1"/>
  <c r="F36" i="1"/>
  <c r="G36" i="1" s="1" a="1"/>
  <c r="G36" i="1" s="1"/>
  <c r="F37" i="1" a="1"/>
  <c r="F37" i="1"/>
  <c r="F38" i="1" a="1"/>
  <c r="F38" i="1" s="1"/>
  <c r="G38" i="1" s="1" a="1"/>
  <c r="G38" i="1" s="1"/>
  <c r="F39" i="1" a="1"/>
  <c r="F39" i="1"/>
  <c r="H39" i="1" s="1" a="1"/>
  <c r="H39" i="1" s="1"/>
  <c r="F40" i="1" a="1"/>
  <c r="F40" i="1"/>
  <c r="G40" i="1" s="1" a="1"/>
  <c r="G40" i="1" s="1"/>
  <c r="F41" i="1" a="1"/>
  <c r="F41" i="1" s="1"/>
  <c r="G41" i="1" s="1" a="1"/>
  <c r="G41" i="1" s="1"/>
  <c r="F42" i="1" a="1"/>
  <c r="F42" i="1"/>
  <c r="F43" i="1" a="1"/>
  <c r="F43" i="1"/>
  <c r="F44" i="1" a="1"/>
  <c r="F44" i="1" s="1"/>
  <c r="G44" i="1" s="1" a="1"/>
  <c r="G44" i="1" s="1"/>
  <c r="F45" i="1" a="1"/>
  <c r="F45" i="1" s="1"/>
  <c r="H45" i="1" s="1" a="1"/>
  <c r="H45" i="1" s="1"/>
  <c r="F46" i="1" a="1"/>
  <c r="F46" i="1"/>
  <c r="F47" i="1" a="1"/>
  <c r="F47" i="1"/>
  <c r="H47" i="1" s="1" a="1"/>
  <c r="H47" i="1" s="1"/>
  <c r="F48" i="1" a="1"/>
  <c r="F48" i="1"/>
  <c r="G48" i="1" s="1" a="1"/>
  <c r="G48" i="1" s="1"/>
  <c r="F49" i="1" a="1"/>
  <c r="F49" i="1"/>
  <c r="H49" i="1" s="1" a="1"/>
  <c r="H49" i="1" s="1"/>
  <c r="F50" i="1" a="1"/>
  <c r="F50" i="1"/>
  <c r="H50" i="1" s="1" a="1"/>
  <c r="H50" i="1" s="1"/>
  <c r="F51" i="1" a="1"/>
  <c r="F51" i="1"/>
  <c r="G51" i="1" s="1" a="1"/>
  <c r="G51" i="1" s="1"/>
  <c r="F52" i="1" a="1"/>
  <c r="F52" i="1" s="1"/>
  <c r="H52" i="1" s="1" a="1"/>
  <c r="H52" i="1" s="1"/>
  <c r="F53" i="1" a="1"/>
  <c r="F53" i="1"/>
  <c r="F54" i="1" a="1"/>
  <c r="F54" i="1"/>
  <c r="H54" i="1" s="1" a="1"/>
  <c r="H54" i="1" s="1"/>
  <c r="F55" i="1" a="1"/>
  <c r="F55" i="1"/>
  <c r="F56" i="1" a="1"/>
  <c r="F56" i="1"/>
  <c r="H56" i="1" s="1" a="1"/>
  <c r="H56" i="1" s="1"/>
  <c r="F57" i="1" a="1"/>
  <c r="F57" i="1"/>
  <c r="H57" i="1" s="1" a="1"/>
  <c r="H57" i="1" s="1"/>
  <c r="F58" i="1" a="1"/>
  <c r="F58" i="1"/>
  <c r="H58" i="1" s="1" a="1"/>
  <c r="H58" i="1" s="1"/>
  <c r="F59" i="1" a="1"/>
  <c r="F59" i="1" s="1"/>
  <c r="H59" i="1" s="1" a="1"/>
  <c r="H59" i="1" s="1"/>
  <c r="F60" i="1" a="1"/>
  <c r="F60" i="1"/>
  <c r="G60" i="1" s="1" a="1"/>
  <c r="G60" i="1" s="1"/>
  <c r="F61" i="1" a="1"/>
  <c r="F61" i="1" s="1"/>
  <c r="H61" i="1" s="1" a="1"/>
  <c r="H61" i="1" s="1"/>
  <c r="F62" i="1" a="1"/>
  <c r="F62" i="1"/>
  <c r="F63" i="1" a="1"/>
  <c r="F63" i="1" s="1"/>
  <c r="F64" i="1" a="1"/>
  <c r="F64" i="1" s="1"/>
  <c r="F65" i="1" a="1"/>
  <c r="F65" i="1" s="1"/>
  <c r="H65" i="1" s="1" a="1"/>
  <c r="H65" i="1" s="1"/>
  <c r="F66" i="1" a="1"/>
  <c r="F66" i="1" s="1"/>
  <c r="H66" i="1" s="1" a="1"/>
  <c r="H66" i="1" s="1"/>
  <c r="F67" i="1" a="1"/>
  <c r="F67" i="1"/>
  <c r="H67" i="1" s="1" a="1"/>
  <c r="H67" i="1" s="1"/>
  <c r="F68" i="1" a="1"/>
  <c r="F68" i="1"/>
  <c r="H68" i="1" s="1" a="1"/>
  <c r="H68" i="1" s="1"/>
  <c r="F69" i="1" a="1"/>
  <c r="F69" i="1" s="1"/>
  <c r="H69" i="1" s="1" a="1"/>
  <c r="H69" i="1" s="1"/>
  <c r="F70" i="1" a="1"/>
  <c r="F70" i="1" s="1"/>
  <c r="G70" i="1" s="1" a="1"/>
  <c r="G70" i="1" s="1"/>
  <c r="F71" i="1" a="1"/>
  <c r="F71" i="1" s="1"/>
  <c r="F72" i="1" a="1"/>
  <c r="F72" i="1"/>
  <c r="H72" i="1" s="1" a="1"/>
  <c r="H72" i="1" s="1"/>
  <c r="F73" i="1" a="1"/>
  <c r="F73" i="1" s="1"/>
  <c r="G73" i="1" s="1" a="1"/>
  <c r="G73" i="1" s="1"/>
  <c r="F74" i="1" a="1"/>
  <c r="F74" i="1"/>
  <c r="H74" i="1" s="1" a="1"/>
  <c r="H74" i="1" s="1"/>
  <c r="F75" i="1" a="1"/>
  <c r="F75" i="1" s="1"/>
  <c r="G75" i="1" s="1" a="1"/>
  <c r="G75" i="1" s="1"/>
  <c r="F76" i="1" a="1"/>
  <c r="F76" i="1" s="1"/>
  <c r="H76" i="1" s="1" a="1"/>
  <c r="H76" i="1" s="1"/>
  <c r="F77" i="1" a="1"/>
  <c r="F77" i="1" s="1"/>
  <c r="G77" i="1" s="1" a="1"/>
  <c r="G77" i="1" s="1"/>
  <c r="F78" i="1" a="1"/>
  <c r="F78" i="1"/>
  <c r="H78" i="1" s="1" a="1"/>
  <c r="H78" i="1" s="1"/>
  <c r="F79" i="1" a="1"/>
  <c r="F79" i="1" s="1"/>
  <c r="H79" i="1" s="1" a="1"/>
  <c r="H79" i="1" s="1"/>
  <c r="F80" i="1" a="1"/>
  <c r="F80" i="1" s="1"/>
  <c r="F81" i="1" a="1"/>
  <c r="F81" i="1" s="1"/>
  <c r="H81" i="1" s="1" a="1"/>
  <c r="H81" i="1" s="1"/>
  <c r="H16" i="1" a="1"/>
  <c r="H16" i="1" s="1"/>
  <c r="G26" i="1" a="1"/>
  <c r="G26" i="1" s="1"/>
  <c r="H34" i="1" a="1"/>
  <c r="H34" i="1" s="1"/>
  <c r="H46" i="1" a="1"/>
  <c r="H46" i="1" s="1"/>
  <c r="G55" i="1" a="1"/>
  <c r="G55" i="1" s="1"/>
  <c r="G56" i="1" a="1"/>
  <c r="G56" i="1" s="1"/>
  <c r="H62" i="1" a="1"/>
  <c r="H62" i="1" s="1"/>
  <c r="H63" i="1" a="1"/>
  <c r="H63" i="1" s="1"/>
  <c r="H53" i="1" a="1"/>
  <c r="H53" i="1" s="1"/>
  <c r="F269" i="2" a="1"/>
  <c r="F269" i="2" s="1"/>
  <c r="E269" i="2"/>
  <c r="F268" i="2" a="1"/>
  <c r="F268" i="2" s="1"/>
  <c r="E268" i="2"/>
  <c r="E267" i="2"/>
  <c r="E266" i="2"/>
  <c r="E265" i="2"/>
  <c r="E264" i="2"/>
  <c r="F263" i="2" a="1"/>
  <c r="F263" i="2" s="1"/>
  <c r="E263" i="2"/>
  <c r="E262" i="2"/>
  <c r="E261" i="2"/>
  <c r="F260" i="2" a="1"/>
  <c r="F260" i="2" s="1"/>
  <c r="E260" i="2"/>
  <c r="E259" i="2"/>
  <c r="E258" i="2"/>
  <c r="E257" i="2"/>
  <c r="E256" i="2"/>
  <c r="E255" i="2"/>
  <c r="E254" i="2"/>
  <c r="F253" i="2" a="1"/>
  <c r="F253" i="2" s="1"/>
  <c r="E253" i="2"/>
  <c r="E252" i="2"/>
  <c r="E251" i="2"/>
  <c r="F250" i="2" a="1"/>
  <c r="F250" i="2" s="1"/>
  <c r="E250" i="2"/>
  <c r="F249" i="2" a="1"/>
  <c r="F249" i="2" s="1"/>
  <c r="E249" i="2"/>
  <c r="F248" i="2" a="1"/>
  <c r="F248" i="2" s="1"/>
  <c r="E248" i="2"/>
  <c r="E247" i="2"/>
  <c r="E246" i="2"/>
  <c r="F245" i="2" a="1"/>
  <c r="F245" i="2" s="1"/>
  <c r="E245" i="2"/>
  <c r="E244" i="2"/>
  <c r="F243" i="2" a="1"/>
  <c r="F243" i="2" s="1"/>
  <c r="E243" i="2"/>
  <c r="F242" i="2" a="1"/>
  <c r="F242" i="2" s="1"/>
  <c r="E242" i="2"/>
  <c r="F241" i="2" a="1"/>
  <c r="F241" i="2" s="1"/>
  <c r="E241" i="2"/>
  <c r="F240" i="2" a="1"/>
  <c r="F240" i="2" s="1"/>
  <c r="E240" i="2"/>
  <c r="F239" i="2" a="1"/>
  <c r="F239" i="2" s="1"/>
  <c r="E239" i="2"/>
  <c r="E238" i="2"/>
  <c r="E237" i="2"/>
  <c r="E236" i="2"/>
  <c r="E235" i="2"/>
  <c r="E234" i="2"/>
  <c r="E233" i="2"/>
  <c r="E232" i="2"/>
  <c r="F231" i="2" a="1"/>
  <c r="F231" i="2" s="1"/>
  <c r="E231" i="2"/>
  <c r="E230" i="2"/>
  <c r="F229" i="2" a="1"/>
  <c r="F229" i="2" s="1"/>
  <c r="E229" i="2"/>
  <c r="E228" i="2"/>
  <c r="E227" i="2"/>
  <c r="F226" i="2" a="1"/>
  <c r="F226" i="2" s="1"/>
  <c r="E226" i="2"/>
  <c r="E225" i="2"/>
  <c r="F224" i="2" a="1"/>
  <c r="F224" i="2" s="1"/>
  <c r="E224" i="2"/>
  <c r="F223" i="2" a="1"/>
  <c r="F223" i="2" s="1"/>
  <c r="E223" i="2"/>
  <c r="E222" i="2"/>
  <c r="F221" i="2" a="1"/>
  <c r="F221" i="2" s="1"/>
  <c r="E221" i="2"/>
  <c r="F220" i="2" a="1"/>
  <c r="F220" i="2" s="1"/>
  <c r="E220" i="2"/>
  <c r="F219" i="2" a="1"/>
  <c r="F219" i="2" s="1"/>
  <c r="E219" i="2"/>
  <c r="E218" i="2"/>
  <c r="E217" i="2"/>
  <c r="F216" i="2" a="1"/>
  <c r="F216" i="2" s="1"/>
  <c r="E216" i="2"/>
  <c r="F215" i="2" a="1"/>
  <c r="F215" i="2" s="1"/>
  <c r="E215" i="2"/>
  <c r="E214" i="2"/>
  <c r="E213" i="2"/>
  <c r="E212" i="2"/>
  <c r="E211" i="2"/>
  <c r="F210" i="2" a="1"/>
  <c r="F210" i="2" s="1"/>
  <c r="E210" i="2"/>
  <c r="E209" i="2"/>
  <c r="E208" i="2"/>
  <c r="E207" i="2"/>
  <c r="E206" i="2"/>
  <c r="F205" i="2" a="1"/>
  <c r="F205" i="2" s="1"/>
  <c r="E205" i="2"/>
  <c r="F204" i="2" a="1"/>
  <c r="F204" i="2" s="1"/>
  <c r="E204" i="2"/>
  <c r="F203" i="2" a="1"/>
  <c r="F203" i="2" s="1"/>
  <c r="E203" i="2"/>
  <c r="E202" i="2"/>
  <c r="E201" i="2"/>
  <c r="F200" i="2" a="1"/>
  <c r="F200" i="2" s="1"/>
  <c r="E200" i="2"/>
  <c r="E199" i="2"/>
  <c r="F198" i="2" a="1"/>
  <c r="F198" i="2" s="1"/>
  <c r="E198" i="2"/>
  <c r="F197" i="2" a="1"/>
  <c r="F197" i="2" s="1"/>
  <c r="E197" i="2"/>
  <c r="E196" i="2"/>
  <c r="E195" i="2"/>
  <c r="F194" i="2" a="1"/>
  <c r="F194" i="2" s="1"/>
  <c r="E194" i="2"/>
  <c r="E193" i="2"/>
  <c r="E192" i="2"/>
  <c r="E191" i="2"/>
  <c r="E190" i="2"/>
  <c r="E189" i="2"/>
  <c r="E188" i="2"/>
  <c r="E187" i="2"/>
  <c r="E186" i="2"/>
  <c r="E185" i="2"/>
  <c r="E184" i="2"/>
  <c r="E183" i="2"/>
  <c r="E182" i="2"/>
  <c r="E181" i="2"/>
  <c r="F180" i="2" a="1"/>
  <c r="F180" i="2" s="1"/>
  <c r="E180" i="2"/>
  <c r="F179" i="2" a="1"/>
  <c r="F179" i="2" s="1"/>
  <c r="E179" i="2"/>
  <c r="E178" i="2"/>
  <c r="F177" i="2" a="1"/>
  <c r="F177" i="2" s="1"/>
  <c r="E177" i="2"/>
  <c r="E176" i="2"/>
  <c r="E175" i="2"/>
  <c r="E174" i="2"/>
  <c r="E173" i="2"/>
  <c r="E172" i="2"/>
  <c r="F171" i="2" a="1"/>
  <c r="F171" i="2" s="1"/>
  <c r="E171" i="2"/>
  <c r="F170" i="2" a="1"/>
  <c r="F170" i="2" s="1"/>
  <c r="E170" i="2"/>
  <c r="F169" i="2" a="1"/>
  <c r="F169" i="2" s="1"/>
  <c r="E169" i="2"/>
  <c r="F168" i="2" a="1"/>
  <c r="F168" i="2" s="1"/>
  <c r="E168" i="2"/>
  <c r="E167" i="2"/>
  <c r="E166" i="2"/>
  <c r="E165" i="2"/>
  <c r="E164" i="2"/>
  <c r="E163" i="2"/>
  <c r="E162" i="2"/>
  <c r="E161" i="2"/>
  <c r="E160" i="2"/>
  <c r="E159" i="2"/>
  <c r="F158" i="2" a="1"/>
  <c r="F158" i="2" s="1"/>
  <c r="E158" i="2"/>
  <c r="F157" i="2" a="1"/>
  <c r="F157" i="2" s="1"/>
  <c r="E157" i="2"/>
  <c r="E156" i="2"/>
  <c r="E155" i="2"/>
  <c r="F154" i="2" a="1"/>
  <c r="F154" i="2" s="1"/>
  <c r="E154" i="2"/>
  <c r="E153" i="2"/>
  <c r="E152" i="2"/>
  <c r="E151" i="2"/>
  <c r="E150" i="2"/>
  <c r="E149" i="2"/>
  <c r="E148" i="2"/>
  <c r="E147" i="2"/>
  <c r="E146" i="2"/>
  <c r="E145" i="2"/>
  <c r="E144" i="2"/>
  <c r="E143" i="2"/>
  <c r="E142" i="2"/>
  <c r="E141" i="2"/>
  <c r="E140" i="2"/>
  <c r="E139" i="2"/>
  <c r="E138" i="2"/>
  <c r="E137" i="2"/>
  <c r="E136" i="2"/>
  <c r="E135" i="2"/>
  <c r="E134" i="2"/>
  <c r="E133" i="2"/>
  <c r="E132" i="2"/>
  <c r="F131" i="2" a="1"/>
  <c r="F131" i="2" s="1"/>
  <c r="E131" i="2"/>
  <c r="F130" i="2" a="1"/>
  <c r="F130" i="2" s="1"/>
  <c r="E130" i="2"/>
  <c r="E129" i="2"/>
  <c r="E128" i="2"/>
  <c r="F127" i="2" a="1"/>
  <c r="F127" i="2" s="1"/>
  <c r="E127" i="2"/>
  <c r="F126" i="2" a="1"/>
  <c r="F126" i="2" s="1"/>
  <c r="E126" i="2"/>
  <c r="H125" i="2"/>
  <c r="F125" i="2" a="1"/>
  <c r="F125" i="2" s="1"/>
  <c r="E125" i="2"/>
  <c r="H124" i="2"/>
  <c r="F124" i="2" a="1"/>
  <c r="F124" i="2" s="1"/>
  <c r="E124" i="2"/>
  <c r="H123" i="2"/>
  <c r="E123" i="2"/>
  <c r="H122" i="2"/>
  <c r="E122" i="2"/>
  <c r="H121" i="2"/>
  <c r="E121" i="2"/>
  <c r="H120" i="2"/>
  <c r="F120" i="2" a="1"/>
  <c r="F120" i="2" s="1"/>
  <c r="E120" i="2"/>
  <c r="E119" i="2"/>
  <c r="E118" i="2"/>
  <c r="E117" i="2"/>
  <c r="E116" i="2"/>
  <c r="E115" i="2"/>
  <c r="F114" i="2" a="1"/>
  <c r="F114" i="2" s="1"/>
  <c r="E114" i="2"/>
  <c r="E113" i="2"/>
  <c r="E112" i="2"/>
  <c r="E111" i="2"/>
  <c r="E110" i="2"/>
  <c r="E109" i="2"/>
  <c r="E108" i="2"/>
  <c r="E107" i="2"/>
  <c r="E106" i="2"/>
  <c r="E105" i="2"/>
  <c r="E104" i="2"/>
  <c r="E103" i="2"/>
  <c r="E102" i="2"/>
  <c r="F101" i="2" a="1"/>
  <c r="F101" i="2" s="1"/>
  <c r="E101" i="2"/>
  <c r="E100" i="2"/>
  <c r="E99" i="2"/>
  <c r="E98" i="2"/>
  <c r="E97" i="2"/>
  <c r="F96" i="2" a="1"/>
  <c r="F96" i="2" s="1"/>
  <c r="E96" i="2"/>
  <c r="E95" i="2"/>
  <c r="E94" i="2"/>
  <c r="F93" i="2" a="1"/>
  <c r="F93" i="2" s="1"/>
  <c r="E93" i="2"/>
  <c r="E92" i="2"/>
  <c r="E91" i="2"/>
  <c r="F90" i="2" a="1"/>
  <c r="F90" i="2" s="1"/>
  <c r="E90" i="2"/>
  <c r="F89" i="2" a="1"/>
  <c r="F89" i="2" s="1"/>
  <c r="E89" i="2"/>
  <c r="E88" i="2"/>
  <c r="F87" i="2" a="1"/>
  <c r="F87" i="2" s="1"/>
  <c r="E87" i="2"/>
  <c r="E86" i="2"/>
  <c r="E85" i="2"/>
  <c r="E84" i="2"/>
  <c r="F83" i="2" a="1"/>
  <c r="F83" i="2" s="1"/>
  <c r="E83" i="2"/>
  <c r="F82" i="2" a="1"/>
  <c r="F82" i="2" s="1"/>
  <c r="E82" i="2"/>
  <c r="E81" i="2"/>
  <c r="E80" i="2"/>
  <c r="E79" i="2"/>
  <c r="E78" i="2"/>
  <c r="E77" i="2"/>
  <c r="E76" i="2"/>
  <c r="E75" i="2"/>
  <c r="F74" i="2" a="1"/>
  <c r="F74" i="2" s="1"/>
  <c r="E74" i="2"/>
  <c r="E73" i="2"/>
  <c r="E72" i="2"/>
  <c r="E71" i="2"/>
  <c r="E70" i="2"/>
  <c r="E69" i="2"/>
  <c r="F68" i="2" a="1"/>
  <c r="F68" i="2" s="1"/>
  <c r="E68" i="2"/>
  <c r="F67" i="2" a="1"/>
  <c r="F67" i="2" s="1"/>
  <c r="E67" i="2"/>
  <c r="E66" i="2"/>
  <c r="E65" i="2"/>
  <c r="E64" i="2"/>
  <c r="E63" i="2"/>
  <c r="E62" i="2"/>
  <c r="E61" i="2"/>
  <c r="E60" i="2"/>
  <c r="E59" i="2"/>
  <c r="E58" i="2"/>
  <c r="E57" i="2"/>
  <c r="E56" i="2"/>
  <c r="E55" i="2"/>
  <c r="F54" i="2" a="1"/>
  <c r="F54" i="2" s="1"/>
  <c r="E54" i="2"/>
  <c r="F53" i="2" a="1"/>
  <c r="F53" i="2" s="1"/>
  <c r="E53" i="2"/>
  <c r="E52" i="2"/>
  <c r="F51" i="2" a="1"/>
  <c r="F51" i="2" s="1"/>
  <c r="E51" i="2"/>
  <c r="F50" i="2" a="1"/>
  <c r="F50" i="2" s="1"/>
  <c r="E50" i="2"/>
  <c r="E49" i="2"/>
  <c r="E48" i="2"/>
  <c r="E47" i="2"/>
  <c r="E46" i="2"/>
  <c r="E45" i="2"/>
  <c r="E44" i="2"/>
  <c r="F43" i="2" a="1"/>
  <c r="F43" i="2" s="1"/>
  <c r="E43" i="2"/>
  <c r="E42" i="2"/>
  <c r="E41" i="2"/>
  <c r="F40" i="2" a="1"/>
  <c r="F40" i="2" s="1"/>
  <c r="E40" i="2"/>
  <c r="E39" i="2"/>
  <c r="E38" i="2"/>
  <c r="F37" i="2" a="1"/>
  <c r="F37" i="2" s="1"/>
  <c r="E37" i="2"/>
  <c r="F36" i="2" a="1"/>
  <c r="F36" i="2" s="1"/>
  <c r="E36" i="2"/>
  <c r="E35" i="2"/>
  <c r="H34" i="2"/>
  <c r="E34" i="2"/>
  <c r="H33" i="2"/>
  <c r="F33" i="2" a="1"/>
  <c r="F33" i="2" s="1"/>
  <c r="E33" i="2"/>
  <c r="E32" i="2"/>
  <c r="F31" i="2" a="1"/>
  <c r="F31" i="2" s="1"/>
  <c r="E31" i="2"/>
  <c r="F30" i="2" a="1"/>
  <c r="F30" i="2" s="1"/>
  <c r="E30" i="2"/>
  <c r="F29" i="2" a="1"/>
  <c r="F29" i="2" s="1"/>
  <c r="E29" i="2"/>
  <c r="F28" i="2" a="1"/>
  <c r="F28" i="2" s="1"/>
  <c r="E28" i="2"/>
  <c r="E27" i="2"/>
  <c r="E26" i="2"/>
  <c r="F25" i="2" a="1"/>
  <c r="F25" i="2" s="1"/>
  <c r="E25" i="2"/>
  <c r="F24" i="2" a="1"/>
  <c r="F24" i="2" s="1"/>
  <c r="E24" i="2"/>
  <c r="E23" i="2"/>
  <c r="E22" i="2"/>
  <c r="F21" i="2" a="1"/>
  <c r="F21" i="2" s="1"/>
  <c r="E21" i="2"/>
  <c r="F20" i="2" a="1"/>
  <c r="F20" i="2" s="1"/>
  <c r="E20" i="2"/>
  <c r="E19" i="2"/>
  <c r="E18" i="2"/>
  <c r="E17" i="2"/>
  <c r="E16" i="2"/>
  <c r="E15" i="2"/>
  <c r="E14" i="2"/>
  <c r="E13" i="2"/>
  <c r="E12" i="2"/>
  <c r="F11" i="2" a="1"/>
  <c r="F11" i="2" s="1"/>
  <c r="E11" i="2"/>
  <c r="E10" i="2"/>
  <c r="E9" i="2"/>
  <c r="E8" i="2"/>
  <c r="F7" i="2" a="1"/>
  <c r="F7" i="2" s="1"/>
  <c r="E7" i="2"/>
  <c r="F6" i="2" a="1"/>
  <c r="F6" i="2" s="1"/>
  <c r="E6" i="2"/>
  <c r="E5" i="2"/>
  <c r="E4" i="2"/>
  <c r="F3" i="2" a="1"/>
  <c r="F3" i="2" s="1"/>
  <c r="E3" i="2"/>
  <c r="F2" i="2" a="1"/>
  <c r="F2" i="2" s="1"/>
  <c r="E2" i="2"/>
  <c r="H24" i="1" l="1" a="1"/>
  <c r="H24" i="1" s="1"/>
  <c r="G50" i="1" a="1"/>
  <c r="G50" i="1" s="1"/>
  <c r="G74" i="1" a="1"/>
  <c r="G74" i="1" s="1"/>
  <c r="H41" i="1" a="1"/>
  <c r="H41" i="1" s="1"/>
  <c r="G64" i="1" a="1"/>
  <c r="G64" i="1" s="1"/>
  <c r="H64" i="1" a="1"/>
  <c r="H64" i="1" s="1"/>
  <c r="H73" i="1" a="1"/>
  <c r="H73" i="1" s="1"/>
  <c r="G43" i="1" a="1"/>
  <c r="G43" i="1" s="1"/>
  <c r="H43" i="1" a="1"/>
  <c r="H43" i="1" s="1"/>
  <c r="H38" i="1" a="1"/>
  <c r="H38" i="1" s="1"/>
  <c r="G25" i="1" a="1"/>
  <c r="G25" i="1" s="1"/>
  <c r="H25" i="1" a="1"/>
  <c r="H25" i="1" s="1"/>
  <c r="H51" i="1" a="1"/>
  <c r="H51" i="1" s="1"/>
  <c r="H5" i="1" a="1"/>
  <c r="H5" i="1" s="1"/>
  <c r="G5" i="1" a="1"/>
  <c r="G5" i="1" s="1"/>
  <c r="H55" i="1" a="1"/>
  <c r="H55" i="1" s="1"/>
  <c r="G71" i="1" a="1"/>
  <c r="G71" i="1" s="1"/>
  <c r="H71" i="1" a="1"/>
  <c r="H71" i="1" s="1"/>
  <c r="H60" i="1" a="1"/>
  <c r="H60" i="1" s="1"/>
  <c r="G37" i="1" a="1"/>
  <c r="G37" i="1" s="1"/>
  <c r="H37" i="1" a="1"/>
  <c r="H37" i="1" s="1"/>
  <c r="H42" i="1" a="1"/>
  <c r="H42" i="1" s="1"/>
  <c r="G42" i="1" a="1"/>
  <c r="G42" i="1" s="1"/>
  <c r="H36" i="1" a="1"/>
  <c r="H36" i="1" s="1"/>
  <c r="H44" i="1" a="1"/>
  <c r="H44" i="1" s="1"/>
  <c r="H70" i="1" a="1"/>
  <c r="H70" i="1" s="1"/>
  <c r="H26" i="1" a="1"/>
  <c r="H26" i="1" s="1"/>
  <c r="H77" i="1" a="1"/>
  <c r="H77" i="1" s="1"/>
  <c r="H40" i="1" a="1"/>
  <c r="H40" i="1" s="1"/>
  <c r="H75" i="1" a="1"/>
  <c r="H75" i="1" s="1"/>
  <c r="H48" i="1" a="1"/>
  <c r="H48" i="1" s="1"/>
  <c r="G57" i="1" a="1"/>
  <c r="G57" i="1" s="1"/>
  <c r="G32" i="1" a="1"/>
  <c r="G32" i="1" s="1"/>
  <c r="G35" i="1" a="1"/>
  <c r="G35" i="1" s="1"/>
  <c r="G66" i="1" a="1"/>
  <c r="G66" i="1" s="1"/>
  <c r="G23" i="1" a="1"/>
  <c r="G23" i="1" s="1"/>
  <c r="G81" i="1" a="1"/>
  <c r="G81" i="1" s="1"/>
  <c r="G80" i="1" a="1"/>
  <c r="G80" i="1" s="1"/>
  <c r="G33" i="1" a="1"/>
  <c r="G33" i="1" s="1"/>
  <c r="G72" i="1" a="1"/>
  <c r="G72" i="1" s="1"/>
  <c r="G68" i="1" a="1"/>
  <c r="G68" i="1" s="1"/>
  <c r="G78" i="1" a="1"/>
  <c r="G78" i="1" s="1"/>
  <c r="G29" i="1" a="1"/>
  <c r="G29" i="1" s="1"/>
  <c r="G22" i="1" a="1"/>
  <c r="G22" i="1" s="1"/>
  <c r="G8" i="1" a="1"/>
  <c r="G8" i="1" s="1"/>
  <c r="G46" i="1" a="1"/>
  <c r="G46" i="1" s="1"/>
  <c r="G39" i="1" a="1"/>
  <c r="G39" i="1" s="1"/>
  <c r="G67" i="1" a="1"/>
  <c r="G67" i="1" s="1"/>
  <c r="G53" i="1" a="1"/>
  <c r="G53" i="1" s="1"/>
  <c r="G18" i="1" a="1"/>
  <c r="G18" i="1" s="1"/>
  <c r="G63" i="1" a="1"/>
  <c r="G63" i="1" s="1"/>
  <c r="G4" i="1" a="1"/>
  <c r="G4" i="1" s="1"/>
  <c r="G11" i="1" a="1"/>
  <c r="G11" i="1" s="1"/>
  <c r="G59" i="1" a="1"/>
  <c r="G59" i="1" s="1"/>
  <c r="G21" i="1" a="1"/>
  <c r="G21" i="1" s="1"/>
  <c r="G28" i="1" a="1"/>
  <c r="G28" i="1" s="1"/>
  <c r="G45" i="1" a="1"/>
  <c r="G45" i="1" s="1"/>
  <c r="G52" i="1" a="1"/>
  <c r="G52" i="1" s="1"/>
  <c r="G14" i="1" a="1"/>
  <c r="G14" i="1" s="1"/>
  <c r="G31" i="1" a="1"/>
  <c r="G31" i="1" s="1"/>
  <c r="G7" i="1" a="1"/>
  <c r="G7" i="1" s="1"/>
  <c r="G17" i="1" a="1"/>
  <c r="G17" i="1" s="1"/>
  <c r="G3" i="1" a="1"/>
  <c r="G3" i="1" s="1"/>
  <c r="G10" i="1" a="1"/>
  <c r="G10" i="1" s="1"/>
  <c r="G30" i="1" a="1"/>
  <c r="G30" i="1" s="1"/>
  <c r="G54" i="1" a="1"/>
  <c r="G54" i="1" s="1"/>
  <c r="G16" i="1" a="1"/>
  <c r="G16" i="1" s="1"/>
  <c r="G20" i="1" a="1"/>
  <c r="G20" i="1" s="1"/>
  <c r="G47" i="1" a="1"/>
  <c r="G47" i="1" s="1"/>
  <c r="G69" i="1" a="1"/>
  <c r="G69" i="1" s="1"/>
  <c r="G61" i="1" a="1"/>
  <c r="G61" i="1" s="1"/>
  <c r="G27" i="1" a="1"/>
  <c r="G27" i="1" s="1"/>
  <c r="G65" i="1" a="1"/>
  <c r="G65" i="1" s="1"/>
  <c r="G13" i="1" a="1"/>
  <c r="G13" i="1" s="1"/>
  <c r="G62" i="1" a="1"/>
  <c r="G62" i="1" s="1"/>
  <c r="G76" i="1" a="1"/>
  <c r="G76" i="1" s="1"/>
  <c r="G58" i="1" a="1"/>
  <c r="G58" i="1" s="1"/>
  <c r="G9" i="1" a="1"/>
  <c r="G9" i="1" s="1"/>
  <c r="G79" i="1" a="1"/>
  <c r="G79" i="1" s="1"/>
  <c r="G34" i="1" a="1"/>
  <c r="G34" i="1" s="1"/>
  <c r="G19" i="1" a="1"/>
  <c r="G19" i="1" s="1"/>
  <c r="G6" i="1" a="1"/>
  <c r="G6" i="1" s="1"/>
  <c r="G12" i="1" a="1"/>
  <c r="G12" i="1" s="1"/>
  <c r="G49" i="1" a="1"/>
  <c r="G49" i="1" s="1"/>
  <c r="G15" i="1" a="1"/>
  <c r="G15" i="1" s="1"/>
  <c r="G2" i="1" a="1"/>
  <c r="G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futureMetadata>
  <cellMetadata count="1">
    <bk>
      <rc t="1" v="0"/>
    </bk>
  </cellMetadata>
  <valueMetadata count="8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valueMetadata>
</metadata>
</file>

<file path=xl/sharedStrings.xml><?xml version="1.0" encoding="utf-8"?>
<sst xmlns="http://schemas.openxmlformats.org/spreadsheetml/2006/main" count="1219" uniqueCount="379">
  <si>
    <t>PDF</t>
  </si>
  <si>
    <t>Company</t>
  </si>
  <si>
    <t>Theme</t>
  </si>
  <si>
    <t>Definition</t>
  </si>
  <si>
    <t>Extracted Commentary</t>
  </si>
  <si>
    <t>C:\Users\73335\OneDrive - Bain\Desktop\FS-ECR-repo\fs-earnings_call_reader\src\notebooks\submission_to_fs_6thAug\FS PDFs\American International Group Inc._Earnings Call_2023-05-05_English.pdf</t>
  </si>
  <si>
    <t>American International Group Inc.</t>
  </si>
  <si>
    <t>Macro factors</t>
  </si>
  <si>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</si>
  <si>
    <t>1. We continue to make meaningful progress across AIG and achieve important milestones, even in the face of ongoing complexity in the insurance industry, volatile market conditions and general economic uncertainty.</t>
  </si>
  <si>
    <t>2. During the first quarter, we were prepared to launch a secondary offering of Corebridge common stock, but chose not to proceed when equity markets became volatile due to issues in the financial sector.</t>
  </si>
  <si>
    <t>3. Shifting back to our $15 \%$ net premiums written growth in the first quarter, this result was impressive despite the headwinds we continue to see in Financial Lines, where overall net premiums written contracted 9\% due to increased competition putting pressure on pricing as well as continued slowdown in M\&amp;A and other transactional business.</t>
  </si>
  <si>
    <t>4. Turning to capital management. The first quarter marked another quarter of continued progress and execution of our balanced strategy. In addition to the first quarter share repurchases and dividends that I mentioned earlier, against the backdrop of an unstable macroeconomic environment, we thought it was prudent to raise $\$ 750$ million of debt at the end of March.</t>
  </si>
  <si>
    <t>5. As Peter noted, L\&amp;R premiums and deposits were very strong at $\$ 10.4$ billion. Notably, Individual Retirement sales were $\$ 4.9$ billion, a $26 \%$ increase over the prior year quarter with record levels of fixed and fixed index annuity sales because of higher crediting rates.</t>
  </si>
  <si>
    <t>6. Income on fixed maturities and loans rose by $\$ 573$ million over the prior year, with average new money reinvestment rates of $5.35 \%$, about 220 basis points above sales and maturities.</t>
  </si>
  <si>
    <t>7. Book value per common share was $\$ 58.87$ at quarter end, up $7 \%$ from year-end, principally due to higher valuations on available-for-sale securities due to lower long-term interest rates.</t>
  </si>
  <si>
    <t>8. Our leverage ratio declined to $32.8 \%$, down about 1 point from year-end even with the new issuance due to the change in AOCI in the quarter.</t>
  </si>
  <si>
    <t>9. With respect to Corebridge, I took you through our current thinking on separation and timing of the secondary offerings.</t>
  </si>
  <si>
    <t>10. We remain on track to reduce AIG common stock outstanding to be between 600 million and 650 million shares and achieve a debt-to-capital leverage at the lower end of our $20 \%$ to $25 \%$ range post deconsolidation of Corebridge.</t>
  </si>
  <si>
    <t>11. We are confident that our continued progress on strategic initiatives and our capital management strategy will allow us to achieve our ROCE targets and deliver long-term profitable growth that benefits all of our stakeholders.</t>
  </si>
  <si>
    <t>12. We sold and reinvested about $\$ 6$ billion in fixed maturities, resulting in a realized loss of $\$ 224$ million, but added 9 basis points of GI yield improvement for the quarter.</t>
  </si>
  <si>
    <t>13. Turning to our Commercial Mortgage Loan exposures. I'll start by noting that our mortgages are senior secured loans on high-quality properties that are well diversified by type and geography with strong loan to values, or LTVs, averaging $59 \%$ and debt service coverage ratios averaging 1.9 x.</t>
  </si>
  <si>
    <t>14. Our U.S. office allocation has been shrinking for several years, particularly when we tightened underwriting standards further for office, retail and hotels with the onset of COVID.</t>
  </si>
  <si>
    <t>15. We also have a credit or CECL allowance against the portfolio of about $\$ 330$ million or $3.7 \%$ against the office loan portfolio and $\$ 584$ million for the total commercial mortgage portfolio or $1.7 \%$.</t>
  </si>
  <si>
    <t>16. Today, we are intensely focused on office loan maturities in the next 2 years, about $\$ 2$ billion or 28 loans.</t>
  </si>
  <si>
    <t>17. While valuations are under pressure, cash flows are the primary source of debt service for our loans, and we will continue to monitor the loans carefully.</t>
  </si>
  <si>
    <t>18. We're very comfortable with our balance sheet even in the current environment where, obviously, there's a lot of stress on the system with the debt ceiling and the rest.</t>
  </si>
  <si>
    <t>19. The Board was comfortable raising the dividend for the first time in many, many years because of the significant turnaround of GI underwriting results over the past 5 years.</t>
  </si>
  <si>
    <t>20. We remain committed to reducing our ownership interest in Corebridge and will explore other options that are aligned with the best interest of shareholders."</t>
  </si>
  <si>
    <t>C:\Users\73335\OneDrive - Bain\Desktop\FS-ECR-repo\fs-earnings_call_reader\src\notebooks\submission_to_fs_6thAug\FS PDFs\Prudential Financial, Inc._Earnings Call_2023-05-03T00_00_00_English.pdf</t>
  </si>
  <si>
    <t>Prudential Financial, Inc.</t>
  </si>
  <si>
    <t>1. Our financial strength, disciplined asset liability management and robust risk management position us well to navigate the current macroeconomic environment while maintaining our balanced approach to capital deployment focused on creating value for our stakeholders.</t>
  </si>
  <si>
    <t>2. Prudential's rock solid balance sheet and robust risk and capital management frameworks have allowed us to confidently navigate the current macroeconomic environment.</t>
  </si>
  <si>
    <t>3. Our financial strength, including our AA rating is supported by $4.6 billion in highly liquid assets at the end of the first quarter as well as a high-quality, well-diversified investment portfolio and a disciplined approach to asset liability management.</t>
  </si>
  <si>
    <t>4. I'll also provide an overview of our investment portfolio and specifically our commercial real estate holdings, given the increased focus on the risks associated with a potential near-term credit cycle.</t>
  </si>
  <si>
    <t>5. These results reflect underlying business growth, including the benefits from a higher interest rate environment, offset by lower variable investment and fee income as well as elevated seasonal mortality experience.</t>
  </si>
  <si>
    <t>6. PGIM, our global investment manager, had lower asset management fees due to lower assets under management resulting from the higher interest rates, equity market declines and net outflows.</t>
  </si>
  <si>
    <t>7. Retail outflows were driven by investors rebalancing amidst higher interest rates and inflation, consistent with the industry.</t>
  </si>
  <si>
    <t>8. We continue to enhance our customer and adviser experiences and further expand our addressable market.</t>
  </si>
  <si>
    <t>9. Our disciplined approach to capital deployment also enables us to effectively balance investing in the long-term growth of our businesses with returning capital to shareholders.</t>
  </si>
  <si>
    <t>10. Our capital position continues to support our AA financial strength rating.</t>
  </si>
  <si>
    <t>11. We have substantial off-balance sheet resources, including contingent capital and liquidity facilities.</t>
  </si>
  <si>
    <t>12. We remain thoughtful in our capital deployment, balancing the preservation of financial strength and flexibility, investment in our businesses and shareholder distributions.</t>
  </si>
  <si>
    <t>13. Our cash and liquid assets were $4.6 billion at the high end of our liquidity target range.</t>
  </si>
  <si>
    <t>14. We expect that the near-term of flow volatility in the institutional business will remain volatile given the heightened macroeconomic, geopolitical and market uncertainty.</t>
  </si>
  <si>
    <t>15. Our long-term investment performance remains very, very strong with over 80% of our benchmarkable assets outperforming the 3-, 5- and 10-year marks.</t>
  </si>
  <si>
    <t>16. As the investment engine of Prudential, the success and growth of PGIM and of our U.S. and International insurance and Retirement businesses are mutually self-reinforcing.</t>
  </si>
  <si>
    <t>17. We have a disciplined approach to our investment portfolio of construction and management.</t>
  </si>
  <si>
    <t>18. Any potential credit losses in these scenarios are factored into our capital management framework and are expected to be manageable.</t>
  </si>
  <si>
    <t>19. We continue to be focused on investing in growth businesses and markets, delivering industry-leading customer experiences and creating the next generation of financial solutions to better serve the diverse needs of a broad range of customers.</t>
  </si>
  <si>
    <t>20. We continue to navigate the current macro environment with the financial strength of our rock-solid balance sheet, and we maintain a balanced and disciplined approach to capital deployment."</t>
  </si>
  <si>
    <t>C:\Users\73335\OneDrive - Bain\Desktop\FS-ECR-repo\fs-earnings_call_reader\src\notebooks\submission_to_fs_6thAug\FS PDFs\MetLife Inc._Earnings Call_2023-05-04_English.pdf</t>
  </si>
  <si>
    <t>MetLife Inc.</t>
  </si>
  <si>
    <t>1. Throughout MetLife's 155-year history, with risk management at our foundation, we have emerged from times of uncertainty in a stronger position; and I expect now to be no different. We remain focused on managing risks across economic cycles and controlling the things we can control to deliver for our shareholders and our other stakeholders.</t>
  </si>
  <si>
    <t>2. Reflecting the market, variable investment income fell below our quarterly outlook expectation on the basis of returns on venture capital and real estate equity funds.</t>
  </si>
  <si>
    <t>3. Taking a broader view of investments rising interest rates are a long-term positive for MetLife. We have a long time horizon and invest with our liabilities in mind.</t>
  </si>
  <si>
    <t>4. Our investment process has stood the test of time, successfully guiding us through the global financial crisis.</t>
  </si>
  <si>
    <t>5. However, we do not have the luxury to wait until a crisis hits. We look around corners and prepare in advance.</t>
  </si>
  <si>
    <t>6. In addition, net investment losses in the quarter included an increase in the current expected credit loss or CECL allowance, primarily in our commercial mortgage loan portfolio given the current environment.</t>
  </si>
  <si>
    <t>7. Lower interest rates in the quarter drove an MRB loss.</t>
  </si>
  <si>
    <t>8. The Group Life mortality ratio was 90.5%, slightly above the top end of our annual target range of 85% to 90%. As we have noted before, Group Life's mortality ratio tends to be seasonally highest in the first quarter.</t>
  </si>
  <si>
    <t>9. Overall, COVID-19 related deaths in Mexico were down significantly year-over-year.</t>
  </si>
  <si>
    <t>10. While VII underperformed this quarter and is approximately 4% of the portfolio, the 3-, 5- and 10-year cumulative private equity annual returns through Q1 of ' 23 were 19.8%, 17.2% and 16%, respectively, demonstrating the long-term value of incorporating this asset class into our asset and liability management.</t>
  </si>
  <si>
    <t>11. In this quarter, our global new money yield reached its highest level in more than a decade at 5.82%, 123 basis points higher than the roll-off yield.</t>
  </si>
  <si>
    <t>12. The portfolio is well positioned and built for resilience through uncertain markets.</t>
  </si>
  <si>
    <t>13. The commercial mortgage loan allowance for credit loss stands at $319 million, including the roughly $100 million increase in Q1 of '23, and considers the current environment as well as the risk around the economic outlook.</t>
  </si>
  <si>
    <t>14. With regards to loan maturities, only 14% of the CML portfolio is scheduled to mature in 2023, with 36% of these loans already favorably resolved through extensions or payoffs.</t>
  </si>
  <si>
    <t>15. We regularly stress test the portfolio. We've just gone through another round of that testing, no surprises, just given what's happening in the market.</t>
  </si>
  <si>
    <t>16. The implications of severe stress tests are really very modest.</t>
  </si>
  <si>
    <t>17. So when you really put that in the context of what it means to capital, it's very, very modest impact.</t>
  </si>
  <si>
    <t>18. While private equity and real estate funds underperformed this quarter, core spreads remained robust.</t>
  </si>
  <si>
    <t>19. In addition, results in our market-leading franchises, Group Benefits and Latin America, continued their strong top and bottom line growth.</t>
  </si>
  <si>
    <t>20. While market fluctuations are expected to continue, MetLife remains in a position of strength given our balance sheet, investment portfolio, free cash flow generation and the diversification of our market-leading businesses."</t>
  </si>
  <si>
    <t>C:\Users\73335\OneDrive - Bain\Desktop\FS-ECR-repo\fs-earnings_call_reader\src\notebooks\submission_to_fs_6thAug\FS PDFs\Manulife Financial Corporation_Earnings Call_2023-05-11_English.pdf</t>
  </si>
  <si>
    <t>Manulife Financial Corporation</t>
  </si>
  <si>
    <t>1. Turning to Slide 11. Throughout 2022, we delivered solid core earnings and stable growth in adjusted book value per share despite a challenging market and operating environment.</t>
  </si>
  <si>
    <t>2. Upon transition to IFRS 17, our LICAT ratio increased 5 percentage points to 136%, largely because the LICAT ratio under IFRS 4 was lowered by the impact of rising interest rates during 2022.</t>
  </si>
  <si>
    <t>3. The insurance experience losses recognized in core earnings reflected the current period impact of the elevated mortality in 2022 due to the Omicron wave of the pandemic as well as the impact of Hurricane Ian on our property and casualty reinsurance business in the third quarter.</t>
  </si>
  <si>
    <t>4. A modest credit experience loss of $34 million represented the change in expected credit loss or ECL. Our result reflects the quality of our fixed income portfolio amid a challenging global macroeconomic environment in 2022.</t>
  </si>
  <si>
    <t>5. Market experience was a net charge of $65 million in the first quarter. This included a $364 million charge from lower-than-expected returns on alternative long-duration assets, largely related to real estate and private equity.</t>
  </si>
  <si>
    <t>6. With office real estate under some cyclical and secular pressures, there could be further declines in this asset class if conditions in the macro environments deteriorate further.</t>
  </si>
  <si>
    <t>7. Our financial strength and stability are as important as ever as the macro backdrop remains uncertain. Our investment portfolio is high quality and well diversified.</t>
  </si>
  <si>
    <t>8. Despite that, we delivered 11% growth in our core EPS to $0.79 per common share, reflecting strong core earnings of $1.5 billion and the impact of our share buyback program over the past year, which is supported by our strong capital position.</t>
  </si>
  <si>
    <t>9. In the first quarter, we moved certain loans to Stage 3 as part of our regular diligence and credit review process that takes into account property values, cash flows and other considerations.</t>
  </si>
  <si>
    <t>10. The elevated mortality experience from COVID-19 impacted our core earnings in CSM differently in 2022, particularly in our U.S. segment results.</t>
  </si>
  <si>
    <t>11. Turning to Slide 17. 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t>
  </si>
  <si>
    <t>12. In addition, our U.S. long-term care business reported insurance experience gains in the CSM due to elevated mortality. 2022 results are not indicative of future experience given the impact of the pandemic.</t>
  </si>
  <si>
    <t>13. Slide 20 shows the summary of our financial performance for the first quarter and our medium-term financial targets. We're pleased that our core EPS growth and core ROE were tracking well against our medium-term targets.</t>
  </si>
  <si>
    <t>14. Slide 21 compares our interest rate-related sensitivities as of December 31, 2022, on both the old IFRS 4 and new IFRS 17 accounting basis. While our net income sensitivities are of similar magnitude, the OCI sensitivities to risk-free rates reduced significantly under the new accounting standards.</t>
  </si>
  <si>
    <t>15. As we've looked at it, we do try to construct a portfolio that's as low vol as we can get. We do that in a couple of ways. One is within each category of our 6 ALDA categories, we do try to stay at the low end of the risk return spectrum, and we could give you many examples of that.</t>
  </si>
  <si>
    <t>16. The core net investment result increased 14% from the prior year quarter, driven by higher expected investment earnings, which reflects both portfolio growth and higher reinvestment yields.</t>
  </si>
  <si>
    <t>17. And finally, a large component of the other investment results reflects foreign exchange impacts. This is in part driven by the delinking of the assets and liability discount rates as part of IFRS 17 and IFRS 9 transition.</t>
  </si>
  <si>
    <t>18. Our commercial mortgage portfolio is diversified and has performed well through previous economic cycles.</t>
  </si>
  <si>
    <t>19. We delivered a core net investment result of $3.1 billion in 2022, including $2.2 billion in expected investment earnings and $0.9 billion in expected earnings on surplus.</t>
  </si>
  <si>
    <t>20. The market experienced losses in 2022 were primarily driven by lower-than-expected returns on public equity, net realized losses on fixed income investments and foreign exchange-related impacts, partially offset by net gains from hedge ineffectiveness and derivatives that were not in hedging relationships."</t>
  </si>
  <si>
    <t>Commentary</t>
  </si>
  <si>
    <t>Page</t>
  </si>
  <si>
    <t>No-Match(0)/</t>
  </si>
  <si>
    <t>Rationale for missing</t>
  </si>
  <si>
    <t>Conclusion</t>
  </si>
  <si>
    <t>Prudential</t>
  </si>
  <si>
    <t>Business/ top line growth</t>
  </si>
  <si>
    <t>Our Institutional Retirement Strategies business had strong first quarter sales, largely driven by our pension risk transfer business, which had its best first quarter ever with more than $2.8 billion in total new business transactions.</t>
  </si>
  <si>
    <t>We also achieved new growth milestones in our international business, especially in Latin America, where Prudential of Brazil's sales reached double-digit year-over-year growth through our three distribution channels.</t>
  </si>
  <si>
    <t>Our financial strength, including our AA rating is supported by $4.6 billion in highly liquid assets at the end of the first quarter as well as a high-quality, well-diversified investment portfolio and a disciplined approach to asset liability management.</t>
  </si>
  <si>
    <t>Our insurance and retirement businesses, in turn, provide a source of growth for PGIM through affiliated net flows, which totaled $2 billion in the first quarter of 2023 as well as unique access to insurance liabilities</t>
  </si>
  <si>
    <t>These results reflect underlying business growth, including the benefits from a higher interest rate environment, offset by lower variable investment and fee income as well as elevated seasonal mortality experience</t>
  </si>
  <si>
    <t>In Q1, we experienced third-party net outflows of $14 billion kind of driven both by Retail and Institutional.</t>
  </si>
  <si>
    <t>And I'll just start with the institutional retirement business which ended the quarter with record account values of $253 billion. Our account values benefited from nearly $4 billion in sales, including the best first quarter ever in our pension risk transfer business</t>
  </si>
  <si>
    <t>In less than 3 years, we've delivered over $13 billion in total sales, clearly reinforcing our leadership position as a top 5 player in the indexed variable annuity space</t>
  </si>
  <si>
    <t>So let me just start by taking a step back and pointing out that at core focus, our group business is to remain price disciplined and profit focused. And that just really means pursuing smart growth. We saw a 2% growth from the year ago quarter and earned premiums and fees, and that was primarily driven by growth in disability and supplemental health.</t>
  </si>
  <si>
    <t>M&amp;A</t>
  </si>
  <si>
    <t>We did programmatic M&amp;A with the Deerpath Capital, we returned capital to shareholders, both in the form of dividends and share repurchases and we made an announcement to repay hybrid, which lowers our -- the hybrid, which lowers our leverage.</t>
  </si>
  <si>
    <t>Manulife</t>
  </si>
  <si>
    <t>"Our North American insurance businesses generated strong core earnings growth compared with the prior year quarter, and we're encouraged by the momentum building in Asia."</t>
  </si>
  <si>
    <t>"Of note, Hong Kong APE sales increased 26% from the prior year quarter, reflecting a return of demand from Mainland Chinese visitors, or MCV, following the border reopening between Hong Kong and Mainland China during the quarter. And our domestic Hong Kong business remained strong with a 21% increase in sales quarter-over-quarter."</t>
  </si>
  <si>
    <t>"Core earnings in Canada increased by 6%, reflecting improved insurance experience, higher expected investment spreads and higher Manulife Bank earnings, partially offset by slower amortization of CSM."</t>
  </si>
  <si>
    <t>"In fact, our APE sales quarter-on-quarter grew 22% in Q1 versus Q4 and Asia grew 28% quarter-on-quarter. And throughout the first quarter, we saw consistent and stable increase in sales momentum, which came off the back of the restrictions being lifted."</t>
  </si>
  <si>
    <t>"And as we see that sales momentum pick up, not just in Asia but across all of our franchise, getting back to new business CSM growth at 15% and then total CSM balance growth of 8% to 10% is definitely still something we feel very confident about and certainly through our medium-term focus and targets, that's where we'd like to be, and we see ourselves."</t>
  </si>
  <si>
    <t>"The core net investment result increased 14% from the prior year quarter, driven by higher expected investment earnings, which reflects both portfolio growth and higher reinvestment yields. In addition, higher interest rates contributed to higher earnings on surplus assets."</t>
  </si>
  <si>
    <t>"Our embedded value of $63.9 billion or $34.29 per common share grew $0.94 per share in 2022, supported by robust organic growth of 11.7%."</t>
  </si>
  <si>
    <t>AIG</t>
  </si>
  <si>
    <t>Gross premiums written were $12 billion, an increase of 9%, with Global Commercial growing 13% and Global Personal decreasing 4%. Net premiums written were $7 billion, an increase of 10%. This growth was primarily driven by Global Commercial, which grew 11%, while Global Personal grew 6%.</t>
  </si>
  <si>
    <t>Yesterday, we announced that Prudential is acquiring a majority stake in Deerpath Capital Management, a leading U.S. private credit and direct lending manager with more than $5 billion in assets under management.</t>
  </si>
  <si>
    <t>Tech transformation</t>
  </si>
  <si>
    <t>First, an industry survey ranked Prudential as a top 3 carrier in e-signature adoption. A majority of annuities applications are now submitted with e-signature, which has reduced processing time by several days and improved our environmental impact.</t>
  </si>
  <si>
    <t>In North America Commercial, we saw a very strong growth of 15% in net premiums written due to Validus Re, which had over 40% growth year-over-year due to the exceptional results we achieved with our January 1 treaty placements, which I discussed in detail on our last call</t>
  </si>
  <si>
    <t>Strong retention, new business and rate have been the key drivers of Lexington's financial performance. Lexington has now seen double-digit rate increases for 16 consecutive quarters, and cumulative compounded rate increases totaled over 100% since the first quarter of 2018.</t>
  </si>
  <si>
    <t>Operational/ cost efficiency</t>
  </si>
  <si>
    <t>And then finally, we remain focused on expense discipline. and continuous improvement in operating efficiency with an eye towards protecting the bottom line.</t>
  </si>
  <si>
    <t>Product Expansion</t>
  </si>
  <si>
    <t>. In the U.S., our individual retirement strategies business continued to expand its suite of next-generation protection solutions. We expanded our FlexGuard distribution and introduced new product enhancements to meet the evolving needs of our customers</t>
  </si>
  <si>
    <t>Additionally, over the last few years, the average size of a Lexington Property primary policy went from $100 million in limits deployed to $5 million.</t>
  </si>
  <si>
    <t>Net premiums written were very strong and balanced in Validus Re, and we continue to meaningfully improve the quality of the portfolio. Rate improvements were particularly strong in U.S. Property, International Property, Marine and Energy, Casualty and Specialty Lines.</t>
  </si>
  <si>
    <t>We do continue to believe that this business is core to Prudential's purpose and we like the growth potential with our overall brand as well as our product breadth and certainly our distribution strength.</t>
  </si>
  <si>
    <t>our work on innovating our product designs continues as we drive to ensure that we meet the needs for retirement, wealth transfer and unmet health and care needs.</t>
  </si>
  <si>
    <t>Regulatory or accounting update</t>
  </si>
  <si>
    <t>Yes, the NAIC is in the process of addressing what is uneconomic issues with the IMR. They -- as you mentioned, they've released a proposal, and that's out for comment until June 9.</t>
  </si>
  <si>
    <t>So obviously, as you state, LDTI is expected to result in a meaningful decline in earnings this year for the Life business as AOI recognition will be deferred</t>
  </si>
  <si>
    <t>Turning to International Commercial. Net premiums written grew 6%, primarily due to Property, which was up over 40%; Global Specialty, which was up over 15%; and Casualty, which was up over 15%. Global Commercial had very strong renewal retention of 88% in its in-force portfolio, International was up 200 basis points to 88%, and North America was up 100 basis points to 87%</t>
  </si>
  <si>
    <t>"Our result reflects the quality of our fixed income portfolio amid a challenging global macroeconomic environment in 2022."</t>
  </si>
  <si>
    <t>International Commercial new business was over $590 million, led by Specialty, which increased its new business by over 50%, driven by Energy and Marine. North America Commercial, excluding Validus Re, achieved new business of over $480 million, driven by Lexington, which saw excellent new business growth of over 50%.</t>
  </si>
  <si>
    <t>The combination of improved pricing in our admitted business and more business migrating to the non-admitting market has a very positive impact on PCG's accident and policy or loss ratios.</t>
  </si>
  <si>
    <t>We continue to enhance the ways in which customers engage with our products and solutions to drive more digital experiences and better customer outcomes.</t>
  </si>
  <si>
    <t>"We expect the magnitude of market experience impact to reduce going forward."</t>
  </si>
  <si>
    <t>Turning to International Personal. Net premiums written were largely flat in the first quarter, Travel and Warranty grew while Personal Property declined, all driven by a further refinement of our cat reinsurance cost allocation methodology, making year-overyear comparisons difficult</t>
  </si>
  <si>
    <t>As I mentioned earlier, premiums and deposits grew significantly in the first quarter, driven by strong new individual retirement business, which, despite increasing surrenders related to interest rates, contributed to growth in the General Account.</t>
  </si>
  <si>
    <t>"We reported strong operating results against the challenging backdrop of market volatility, persistent inflation, continued recession concerns and stress in the banking sector."</t>
  </si>
  <si>
    <t>As I discussed earlier, our first quarter financial results were excellent, with continued top line growth and improvement in underwriting profitability in General Insurance. Over the last few months, we accelerated our work to establish AIG's future state business model.</t>
  </si>
  <si>
    <t>Turning to the segments. GI adjusted pretax income, or APTI, was $1.2 billion, $37 million higher than 1Q '22, principally due to a $56 million increase in underwriting income from both higher-earned premiums and a 1 point improvement in the calendar year combined ratio, which was 91.9%.</t>
  </si>
  <si>
    <t>"With office real estate under some cyclical and secular pressures, there could be further declines in this asset class if conditions in the macro environments deteriorate further."</t>
  </si>
  <si>
    <t>Turning to L&amp;R results for the first quarter. APTI was $886 million, down $48 million compared to $934 million in 1Q '22 as restated</t>
  </si>
  <si>
    <t>As Peter noted, L&amp;R premiums and deposits were very strong at $10.4 billion. Notably, Individual Retirement sales were $4.9 billion, a 26% increase over the prior year quarter with record levels of fixed and fixed index annuity sales because of higher crediting rates.</t>
  </si>
  <si>
    <t>Group Retirement deposits grew 19%, with higher out-of-plan fixed annuity sales and new plan acquisitions.</t>
  </si>
  <si>
    <t>To conclude on earnings for the quarter, other operations adjusted pretax loss, or APTL, was $491 million, a $70 million increase due to lower APTI from consolidated investment entities in Asset Management, which had strong private equity results in 1Q '22.</t>
  </si>
  <si>
    <t>While the top line that we publish on a gross and net basis is significant, that's gone up 40%, 50%, if not more, over the past several years based on those components.</t>
  </si>
  <si>
    <t>Turning to Life and Retirement. The business delivered strong performance in the first quarter. Adjusted pretax income was $886 million for the first quarter, and adjusted return on segment equity was 10.7%.</t>
  </si>
  <si>
    <t>"While IFRS 17 does not impact the fundamental economics of our business or financial strength, the new accounting standards are expected to improve the stability of our financial metrics."</t>
  </si>
  <si>
    <t>"We delivered solid core earnings of $5.8 billion despite the claims experienced losses in our U.S. Life business due to COVID-19 and charges in our property and casualty reinsurance business due to Hurricane Ian."</t>
  </si>
  <si>
    <t>In terms of expectations for PCG for the full year, we expect net premiums written growth to be at or higher than we saw in the first quarter, the loss ratio to meaningfully improve and the acquisition ratio and general operating expense to also improve.</t>
  </si>
  <si>
    <t>"We delivered new business CSM of $1.9 billion in 2022, reflecting the profitable growth of our insurance businesses globally."</t>
  </si>
  <si>
    <t>"And our capital remains strong with a LICAT ratio of 136% under IFRS 17, an increase of 5 percentage points relative to IFRS 4, reflecting a more stable capital ratio relative to interest rate movements under the new accounting regime."</t>
  </si>
  <si>
    <t>Metlife</t>
  </si>
  <si>
    <t>"Sales on a constant currency basis were up across the board in the region. Japan saw sales rise 17% on the strength of FX annuities, while India led the sales gains in other Asia, up 45%, followed by Korea, up 21%."</t>
  </si>
  <si>
    <t>"And our business continues to put up impressive growth numbers in our major markets with sales jumping 36% and adjusted PFOs rising 26%, both on a constant currency basis"</t>
  </si>
  <si>
    <t>"Turning to the top line. Group Benefits adjusted PFOs were up 1% year-over-year."</t>
  </si>
  <si>
    <t>"In addition, Group Benefits sales were up 15%, driven by strong growth across all markets."</t>
  </si>
  <si>
    <t>"Let me conclude by saying that MetLife's results reflect the strength of our business fundamentals: solid top line growth, favorable underwriting and ongoing expense discipline"</t>
  </si>
  <si>
    <t>"In addition, results in our market-leading franchises, Group Benefits and Latin America, continued their strong top and bottom line growth."</t>
  </si>
  <si>
    <t>"We are market leaders with a very strong brand in Mexico and Chile and a very fast-growing presence in Brazil."</t>
  </si>
  <si>
    <t>"And then in Brazil, which now represents roughly 20% of the region's sales, we're also growing very, very fast with 60% year-over-year this quarter alone"</t>
  </si>
  <si>
    <t>"EMEA adjusted PFOs were up 5% on a constant currency basis and sales were up 27% on a constant currency basis, reflecting strong growth across the region."</t>
  </si>
  <si>
    <t>"Our persistency in terms of the Q1 renewals was extremely strong, and it was higher than prior year across all of our major markets."</t>
  </si>
  <si>
    <t>"Our core EBITDA margin decreased to 22.4% in the quarter, reflecting the factors I noted earlier on core earnings as well as the modest impact from the acquisition of full ownership in Manulife Fund Management in Mainland China as its general expenses are now consolidated."</t>
  </si>
  <si>
    <t>"The other thing I would call out is that there's also an impact this quarter from the consolidation that Phil talked about as it relates to our China acquisition, now called Manulife Fund Management."</t>
  </si>
  <si>
    <t>"Our financial strength and stability are as important as ever as the macro backdrop remains uncertain."</t>
  </si>
  <si>
    <t>We continue to make meaningful progress across AIG and achieve important milestones, even in the face of ongoing complexity in the insurance industry, volatile market conditions and general economic uncertainty</t>
  </si>
  <si>
    <t>"The first is we're already starting to see some positive momentum of the acquisition and the new leadership team we put in place of the positive flows in the quarter, $1.8 billion came from China in Q1, and a lot of that was driven by a very large fundraise they were able to complete."</t>
  </si>
  <si>
    <t>Corebridge and Blackstone have made substantial progress advancing their strategic partnership, which began in late 2021. Since that time, Blackstone has invested approximately $11 billion on behalf of Corebridge, with an average gross yield of 6.5% and an average credit rating of A</t>
  </si>
  <si>
    <t>We continue to be prepared and disciplined in terms of executing a secondary offering, which remains our base case for selling down our ownership in Corebridge, subject to market conditions and regulatory approvals. We remain committed to reducing our ownership interest in Corebridge and will explore other options that are aligned with the best interest of shareholders.</t>
  </si>
  <si>
    <t>First quarter results reflect our continued repositioning of this business, especially PCG, given our announcement of the creation of a managing general agency in partnership with Stone Point Capital.</t>
  </si>
  <si>
    <t>We acquired CRS as part of our broader acquisition of Validus Holdings in 2018. AIG will continue to write business for the 2023 spring crop season, which ends June 30</t>
  </si>
  <si>
    <t>"Our APE sales were $1.6 billion, supported by sales growth in Asia, which increased 5% from the prior year quarter, and we saw sales momentum building throughout the first quarter."</t>
  </si>
  <si>
    <t>In American Financial Group, we have found a high-quality partner for CRS and its employees and believe the business will benefit from being part of a larger combined platform.</t>
  </si>
  <si>
    <t>As you know, last quarter, we lowered our run rate expectations for ORR, specifically due to as you're speaking to the expected slowdown in real estate-related revenues.</t>
  </si>
  <si>
    <t>So in the quarter, we came in lower than our expected average because we saw that real estate slowdown as we expect it. And I guess the only other thing I would mention is, just a reminder that incentive fees tend to be seasonally low in Q1.</t>
  </si>
  <si>
    <t>what is underpinning our plans is sort of the expectation of a slowing economy and the early stages of a mild recession, which would include an elevated level of credit losses and in-rating migration.</t>
  </si>
  <si>
    <t>We're seeing tight labor markets with low current unemployment and a large number of job openings.</t>
  </si>
  <si>
    <t>And another question around Japan. I believe they're lifting pandemic-related restrictions, categorizing COVID like infectious disease or like the influenza.</t>
  </si>
  <si>
    <t>As far as the higher rates, and obviously, when we say that, higher Yen rates, higher U.S. interest rates, I would -- as I would always say, higher interest rates are good for Prudential, are good for our businesses, and they're good for our Japanese business.</t>
  </si>
  <si>
    <t>"Core earnings in the U.S. increased by 23%, reflecting improved insurance experience, increased expected investment earnings and lower onerous losses on new insurance business."</t>
  </si>
  <si>
    <t>In addition to the first quarter share repurchases and dividends that I mentioned earlier, against the backdrop of an unstable macroeconomic environment, we thought it was prudent to raise $750 million of debt at the end of March.</t>
  </si>
  <si>
    <t>The Life business typically experiences elevated seasonal mortality in the first quarter, and that's consistent with what we see across the industry.</t>
  </si>
  <si>
    <t>"Throughout 2022, we delivered solid core earnings and stable growth in adjusted book value per share despite a challenging market and operating environment."</t>
  </si>
  <si>
    <t>"The insurance experience losses recognized in core earnings reflected the current period impact of the elevated mortality in 2022 due to the Omicron wave of the pandemic as well as the impact of Hurricane Ian on our property and casualty reinsurance business in the third quarter."</t>
  </si>
  <si>
    <t>"Taking a broader view of investments rising interest rates are a long-term positive for MetLife."</t>
  </si>
  <si>
    <t>"For the 2022 comparative results, we introduced the transitional net income metric that reflects the impact of hedge accounting and ECL principles as if the standards had allowed such principles to be implemented for 2022."</t>
  </si>
  <si>
    <t>"Our investment process has stood the test of time, successfully guiding us through the global financial crisis."</t>
  </si>
  <si>
    <t>"Lower interest rates in the quarter drove an MRB loss. This loss was partially offset by derivative gains relating to lower interest rates."</t>
  </si>
  <si>
    <t>"The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t>
  </si>
  <si>
    <t>"The elevated mortality experience from COVID-19 impacted our core earnings in CSM differently in 2022, particularly in our U.S. segment results."</t>
  </si>
  <si>
    <t>"Overall, the portfolio is well positioned and built for resilience through uncertain markets."</t>
  </si>
  <si>
    <t>Of note, Hong Kong APE sales increased 26% from the prior year quarter, reflecting a return of demand from Mainland Chinese visitors, or MCV, following the border reopening between Hong Kong and Mainland China during the quarter. And our domestic Hong Kong business remained strong with a 21% increase in sales quarter-over-quarter."</t>
  </si>
  <si>
    <t>"This is illustrated throughout 2022, where the overall change in ECL was a modest $34 million pretax charge despite a backdrop of market volatility and significant equity market declines."</t>
  </si>
  <si>
    <t>"While market fluctuations are expected to continue, MetLife remains in a position of strength given our balance sheet, investment portfolio, free cash flow generation and the diversification of our market-leading businesses."</t>
  </si>
  <si>
    <t>"In Canada, APE sales decreased 19%, driven by lower segregated fund sales, due to the impact of market volatility and variability in the large case group insurance market."</t>
  </si>
  <si>
    <t>"APE sales in the U.S. decreased 22%, reflecting the adverse impact of higher short-term interest rates and equity market volatility on consumer sentiment."</t>
  </si>
  <si>
    <t>"In retail, net inflows were $0.8 billion compared with net inflows of $4 billion in the prior year quarter. The decrease reflected lower investor demand and continued market volatility and higher interest rates."</t>
  </si>
  <si>
    <t>"Overall, Global WAM's average AUMA decreased by 7% compared with the prior year quarter, driven by the unfavorable impact of markets in 2022."</t>
  </si>
  <si>
    <t>"Institutional Asset Management business recorded net inflows of $2.5 billion compared with net inflows of $0.9 billion in the prior year quarter driven by new product launches in Mainland China, totaling $1.6 billion."</t>
  </si>
  <si>
    <t>"I will highlight what I highlighted a few moments ago, which is we've been operating in a really tough environment over the course, not really just the past 12 months, but the past couple of years."</t>
  </si>
  <si>
    <t>"So yes, a tough environment as it relates to restrictions, but we're really actually quite encouraged with the momentum that we saw in Q1 and that's continued since Q1."</t>
  </si>
  <si>
    <t>"Firstly, for the first quarter, the constraining impact of the pandemic on our Asia segment began to turn around very sharply from late in the first quarter."</t>
  </si>
  <si>
    <t>"I suppose a couple of things. One is that the pace of amortization has slowed in a higher interest rate environment, but also the CSM balance has not actually grown as quickly as we would -- as much as we would typically expect it to have grown, and that's coming to my comments a little earlier on the new business CSM generation. It's been a really tough environment, operating environment."</t>
  </si>
  <si>
    <t>"However, we need to take a step back and look at the overall impact of interest rates, higher interest rates, which is benefiting the company through 2022 and in Q1, and that's coming through in terms of higher interest on surplus from higher yields."</t>
  </si>
  <si>
    <t>"I think with rates coming up, inflation coming up, frankly, it gives us more confidence that we absolutely will achieve those returns."</t>
  </si>
  <si>
    <t>So higher interest rates have slowed the amortization on certain VFA contracts.</t>
  </si>
  <si>
    <t>"During the first quarter of 2022, this elevated mortality led to an adverse claims loss in our U.S. Life Insurance business, which was reflected in core earnings."</t>
  </si>
  <si>
    <t>"But it's worth recognizing as well that other markets within Asia continue to see, I would say, a bumpy emergence from the pandemic, and Vietnam is an example of that, that it continues to be a tough market, but we expect these to come back during the course of 2023."</t>
  </si>
  <si>
    <t>And within International Property, limits deployed were reduced slightly, and Japan property cat risk-adjusted rates were up approximately 20%.</t>
  </si>
  <si>
    <t>We do not expect to deploy additional limits beyond our current aggregate allocated to Florida, although we do anticipate significant rate increases and improved terms and conditions.</t>
  </si>
  <si>
    <t>where overall net premiums written contracted 9% due to increased competition putting pressure on pricing as well as continued slowdown in M&amp;A and other transactional business.</t>
  </si>
  <si>
    <t>"Despite that, we delivered 11% growth in our core EPS to $0.79 per common share, reflecting strong core earnings of $1.5 billion and the impact of our share buyback program over the past year, which is supported by our strong capital position."</t>
  </si>
  <si>
    <t>During the past year, we continued to see new competitors with limited experience into the high excess public D&amp;O market. This is driving down pricing in what is traditionally the most commoditized portion of a placement</t>
  </si>
  <si>
    <t>We are one of the very few lead markets in large account public D&amp;O where primary rates have remained relatively flat year-overyear. In contrast, high excess public company D&amp;O saw rate declines greater than 20%</t>
  </si>
  <si>
    <t>With the onset of COVID and, again, with rising interest rates last year, we further tightened investment guidelines and moved up in quality, including the GI repositioning mentioned earlier and also sales of L&amp;R noninvestment-grade assets.</t>
  </si>
  <si>
    <t>"we have emerged from times of uncertainty in a stronger position; and I expect now to be no different"</t>
  </si>
  <si>
    <t>"And despite the market turmoil during the first quarter, our capital markets investment products business was able to issue $3.7 billion of funding for the spread business, demonstrating the value of MetLife credit and the broader capital markets."</t>
  </si>
  <si>
    <t>Strategy</t>
  </si>
  <si>
    <t>We continue to shift towards higher growth and less market-sensitive products and markets, enhance our customer and adviser experiences and further expand our addressable market.</t>
  </si>
  <si>
    <t>"Moving to the businesses, starting with the U.S. Group Benefits adjusted earnings were $307 million versus $117 million in the prior year period, primarily due to lower COVID-19 claims."</t>
  </si>
  <si>
    <t>"As we have noted before, Group Life's mortality ratio tends to be seasonally highest in the first quarter. The drivers were excess mortality due to claims resulting from the year-end flu spike and higher severity"</t>
  </si>
  <si>
    <t>"The commercial mortgage loan allowance for credit loss stands at $319 million, including the roughly $100 million increase in Q1 of '23, and considers the current environment as well as the risk around the economic outlook."</t>
  </si>
  <si>
    <t>"I'm pleased to confirm that our IFRS 17 transition impacts are consistent with the guidance we previously provided."</t>
  </si>
  <si>
    <t>"On a restated basis, under IFRS 17, we delivered solid core earnings in 2022 and stable growth in adjusted book value, which incorporates the strength of our CSM.</t>
  </si>
  <si>
    <t>"Under IFRS 17, our Asia segment continues to be the largest contributor to total company core earnings despite the deferral of new business gains into CSM."</t>
  </si>
  <si>
    <t>"So it's a market, where again you have to be very cautious, but there are opportunities as we've seen through other cycles in the past."</t>
  </si>
  <si>
    <t>"And so we do see that migration, but again over time, that cap income will also get incorporated in, obviously depending on the overall interest rate environment."</t>
  </si>
  <si>
    <t>Net premiums written in General Insurance grew 10% on a constant dollar basis and adjusted for the International lag elimination that we discussed on our last call. This growth was driven by our Commercial business.</t>
  </si>
  <si>
    <t>Life and Retirement reported very good results, with premiums and deposits of $10.4 billion in the first quarter, a 44% increase yearover-year, supported by record sales in fixed annuity and fixed index annuity products.</t>
  </si>
  <si>
    <t>"And when we think about that favorability, there are some external factors in the environment and there are some internal drivers as well. So externally, you could look at the low unemployment levels as well as the fact that we're now clearly out of the pandemic environment, which kind of decreased the pressure on the STD line. So a favorable environment in Q1."</t>
  </si>
  <si>
    <t>"As we think about the rest of the year, we continue to -- from a pricing perspective, we continue to bake in a load for softness in the environment."</t>
  </si>
  <si>
    <t>" Look, how much -- a lot of active management, a lot. And inflation has been challenging. And I think we've seen that throughout the insurance industry on both sides, and it's a challenging environment."</t>
  </si>
  <si>
    <t>"We continue to use that mentality to build capacity so that we can continue to invest in -- through these cycles and not let things like inflation slow us down. And it gives us optionality should we see more stressful environment."</t>
  </si>
  <si>
    <t>"We really are benefiting from the U.S. rate movement. It's really giving us an advantage as we compare to the Japanese rates."</t>
  </si>
  <si>
    <t>"In this quarter, our global new money yield reached its highest level in more than a decade at $5.82 \%, 123$ basis points higher than the roll-off yield.</t>
  </si>
  <si>
    <t>1Q is typically a lower quarter for cash flow from subsidiaries, and that's what we saw this quarter, first quarter and it tends to be higher in subsequent quarters. All of our businesses are profitable in generating cash flow</t>
  </si>
  <si>
    <t>That includes PICA and [ DEP can ] and PGIM, and we expect cash flows from them as we progress through the year and we expect to operate within our $3 billion to $5 billion of holdco HLA range.</t>
  </si>
  <si>
    <t>"Core earnings in Asia decreased by 1%, driven by slower amortization of CSM and less favorable claims experience. This was largely offset by higher expected investment income and lower nonattributable maintenance expenses."</t>
  </si>
  <si>
    <t>"The decrease in Global WAM core earnings reflects a decline in net fee income driven by lower average AUMA and higher general expenses."</t>
  </si>
  <si>
    <t>"Expenses were up from last year. Some of that is good expenses from my perspective. And that is we're seeing sales activity pick up quite a bit from where we were last year that is driving higher travel and entertainment expenses from what we would have seen last year, that's typically a leading indicator of good sales momentum for us."</t>
  </si>
  <si>
    <t>As we described in our last call, the reinsurance program we structured at this year's January 1 renewal provides us with the ability to manage volatility and severity.</t>
  </si>
  <si>
    <t>Corporate GOE decreased $27 million from the prior year and $77 million from 4Q '22 despite $29 million of additional expense related to the corporate separation.</t>
  </si>
  <si>
    <t>We also gave guidance as we're working through our future state business model, $250 million to $350 million of parent expenses</t>
  </si>
  <si>
    <t>We want to make sure that we have a lean model that's not synonymous with expense cutting, but it is how we're going to be in each market, how we face off with our clients and our distribution partners to maximize growth and all the opportunities that present them themselves to AIG and making sure that we have a structure that supports that</t>
  </si>
  <si>
    <t>And so the business has to get rationalized and leaner in order to be able to absorb more expenses. But our commitment is the $500 million in addition to the guidance that we've given in the other components</t>
  </si>
  <si>
    <t>"And I think our -- the culture here has been really strong around efficiency mindset."</t>
  </si>
  <si>
    <t>. In Individual Retirement, product pivots have resulted in continued strong sales of more simplified solutions like FlexGuard and FlexGuard Income, representing over $13 billion of sales since inception as well as increased fixed annuity sales that comprised approximately 1/3 of our sales.</t>
  </si>
  <si>
    <t>And Erik, this obviously also includes the recent launch of our indexed Variable Universal Life product, FlexGuard Life, which is ramping up nicely.</t>
  </si>
  <si>
    <t>"Now what we saw in terms of new business value there was the result that you've pointed to with a slight reduction year-on-year in new business value was predominantly the result of channel and product mix associated with demand that emerged from Mainland Chinese Visitor customers for savings products"</t>
  </si>
  <si>
    <t>This partnership has allowed Corebridge to expand in certain asset classes where we had limited to no access in the past, which has been very beneficial for the business and is helping to support growth, particularly in fixed annuity products.</t>
  </si>
  <si>
    <t xml:space="preserve"> "Adjusted PFOs in the quarter benefited from our sustained efforts to grow our structured settlement and our longevity reinsurance businesses.</t>
  </si>
  <si>
    <t>As part of this review, as you saw in our announcement on Tuesday, we executed a definitive documentation to sell Crop Risk Services, or CRS, to American Financial Group for $240 million.</t>
  </si>
  <si>
    <t>"After adjusting for hedge accounting and ECL principles, we reported $3.5 billion of net income attributed to shareholders on a transitional basis for the full year."</t>
  </si>
  <si>
    <t>"Total core earnings of $5.8 billion in 2022 were approximately 6% lower than under IFRS 4 within the guidance we provided previously, a high-level comparison of the differences is included in the appendix."</t>
  </si>
  <si>
    <t>After a comprehensive review of the health product offering, we decided to evaluate strategic alternatives and a potential sale of Laya Healthcare, the private medical insurance business in Ireland</t>
  </si>
  <si>
    <t>Our objective has not changed, which is for AIG to reduce its ownership stake in Corebridge over time.</t>
  </si>
  <si>
    <t>"Second, by applying IFRS 9 hedge accounting, a portion of the interest rate impact on our insurance liabilities is reflected in net income, largely offsetting the mark-to-market impact on our derivatives used for economic hedging."</t>
  </si>
  <si>
    <t>"And finally, a large component of the other investment results reflects foreign exchange impacts. This is in part driven by the delinking of the assets and liability discount rates as part of IFRS 17 and IFRS 9 transition."</t>
  </si>
  <si>
    <t>"Under IFRS 17, our core general expenses no longer include acquisition expenses.'</t>
  </si>
  <si>
    <t>"As such, our core general expenses are lower under IFRS 17 and our restated 2022 expense efficiency ratio was 45.7%."</t>
  </si>
  <si>
    <t>"Under IFRS 9, we measure ECLs using a 3-stage approach."</t>
  </si>
  <si>
    <t>"The application of hedge accounting and ECL principles had a largely neutral impact on total comprehensive income and shareholders' equity, while the transitional net income is more representative of 2023 and beyond."</t>
  </si>
  <si>
    <t>"Under IFRS 17, results can be different than the published sensitivities as exposures vary slightly across currencies and a long interest rate curves"</t>
  </si>
  <si>
    <t>"In summary, IFRS 17 and IFRS 9 are expected to improve the stability of our core earnings, net income, book value and the LICAT ratio over the medium term."</t>
  </si>
  <si>
    <t>"Note that certain material factors or assumptions are applied in making forwardlooking statements, and actual results may differ materially from what was -- what is stated."</t>
  </si>
  <si>
    <t>We will eliminate overlap and significantly reduce decentralized infrastructure across the company, which will lead to a leaner business model, particularly in our operations.</t>
  </si>
  <si>
    <t>In future state, we expect a redefined AIG parent expense structure to be approximately 1% to 1.5% of premiums, which today is roughly $250 million to $350 million.</t>
  </si>
  <si>
    <t>As we progress our future state business model, we anticipate achieving approximately $500 million in cost reductions at AIG parent and a cost to achieve of around $400 million with substantially quicker earn-in of savings that we achieved with AIG 200.</t>
  </si>
  <si>
    <t>As expense savings begin to earn through, the reductions will largely be seen in other operations, which is where general operating expenses are currently accounted for.</t>
  </si>
  <si>
    <t>"We took actions in early 2023 to better align our investment activities to the new accounting standards, which are expected to lead to smaller realized gains or losses going forward."</t>
  </si>
  <si>
    <t xml:space="preserve"> "Welcome to Manulife's earnings conference call to discuss our 2022 comparative results under IFRS 17 and IFRS 9 as well as our first quarter 2023 financial and operating results. As this marks the first quarter of reporting under the new accounting standards, we are extended the call to 2 hours."</t>
  </si>
  <si>
    <t>Subject to regulatory approvals, the MGA is expected to formally launch in the third quarter of this year, and we expect to bring on additional capital providers through the second half of 2023.</t>
  </si>
  <si>
    <t>As a reminder, this is a GAAP accounting change only and does not impact statutory results, insurance company cash flows or economic returns. Going forward, we expect a modest run rate increase in L&amp;R APTI and less market and mortality-driven volatility from the change in accounting standards</t>
  </si>
  <si>
    <t>Turning to AIG's balance sheet. Book value per common share was $58.87 at quarter end, up 7% from year-end, principally due to higher valuations on available-for-sale securities due to lower long-term interest rates</t>
  </si>
  <si>
    <t>Last week, we executed a definitive documentation with Stone Point Capital for the launch of Private Client Services, an MGA that will serve the high and ultra-high net worth market.</t>
  </si>
  <si>
    <t>Our leverage ratio declined to 32.8%, down about 1 point from year-end even with the new issuance due to the change in AOCI in the quarter. Excluding AOCI and the Fortitude-embedded derivative, debt leverage was 26.3%.</t>
  </si>
  <si>
    <t>First, the 1-month lag in financial reporting for the General Insurance International segment was eliminated last quarter.</t>
  </si>
  <si>
    <t>Second, we adopted the change in accounting standard for certain long-duration products, commonly called LDTI. Yesterday, 8- Ks were filed that provide restated prior year financial results for AIG and Corebridge.</t>
  </si>
  <si>
    <t>We also have a credit or CECL allowance against the portfolio of about $330 million or 3.7% against the office loan portfolio and $584 million for the total commercial mortgage portfolio or 1.7%, which is higher than many peers as we use CMBS default data in our methodology.</t>
  </si>
  <si>
    <t>"For certain products such as variable annuities with market-related guarantees, the change in fair value excluding changes attributable to nonperformance risk is recognized in net income each quarter. Similar to certain variable annuity guarantees previously classified outside of adjusted earnings, we'll also now identify MRB gains and losses as a reconciling item between net income and adjusted earnings."</t>
  </si>
  <si>
    <t>"Regarding our statutory capital. For our U.S. companies, our 2022 combined NAIC RBC ratio was 367%, which is above our target ratio of 360%"</t>
  </si>
  <si>
    <t>"We estimate that our total U.S. statutory adjusted capital was approximately $17.7 billion as of March 31, 2023"</t>
  </si>
  <si>
    <t>"Finally, as I referenced earlier, we expect that Japan's solvency margin ratio to be approximately $725 \%$ as of March 31, which will be based on statutory statements that will be filed in the next few weeks."</t>
  </si>
  <si>
    <t>"Lower interest rates in the quarter drove an MRB loss."</t>
  </si>
  <si>
    <t>"Management took the opportunity to reposition some of the U.S. dollar portfolio to help mitigate some cash tax relating to our recent A\&amp;H Reinsurance transaction, enhance net investment income and improve asset liability management within the Japan business.</t>
  </si>
  <si>
    <t>In addition, net investment losses in the quarter included an increase in the current expected credit loss or CECL allowance, primarily in our commercial mortgage loan portfolio given the current environment.</t>
  </si>
  <si>
    <t>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t>
  </si>
  <si>
    <t>We are confident that this approach, coupled with our robust financial position, mix of mutually enhancing businesses and growth strategy, positions us well to be a leader in expanding access to investing, insurance and retirement security for people around the world.</t>
  </si>
  <si>
    <t>PGIM, our global active investment manager, has diversified capabilities in both public and private asset classes across fixed income, equities and alternatives. PGIM's investment performance remains attractive with 80% or more of assets under management outperforming their benchmarks over the last 3-, 5- and 10-year periods.</t>
  </si>
  <si>
    <t>Our individual life sales reflect our earlier product pivot strategy with variable life products representing about 70% of sales for the quarter. And we continue to diversify group insurance sales with strong growth in supplemental health and disability products and driving 25% growth in the premier segment from the prior year quarter.</t>
  </si>
  <si>
    <t>Our international businesses include our Japanese life insurance companies, where we have a differentiated multichannel distribution model as well as other businesses aimed at expanding our presence in high-growth emerging markets</t>
  </si>
  <si>
    <t>"You will see some adjustments to our portfolio mix and margins as we continue to execute on our strategy."</t>
  </si>
  <si>
    <t>In emerging markets, we are focused on creating a carefully selected portfolio of businesses in regions where customer needs are growing, where there are compelling opportunities to build market-leading businesses and where the Prudential enterprise can add value.</t>
  </si>
  <si>
    <t>Our mortgage loans represent 13% of our portfolio and reflect our conservative underwriting with an average loan-to-value of 57% and debt service coverage of 2.4x</t>
  </si>
  <si>
    <t>"Our strategic priorities remain unchanged, and we're well positioned to achieve our medium-term financial and operating targets under the new accounting regime."</t>
  </si>
  <si>
    <t>"I'm confident that as we execute on our strategy and prioritize actions that generate shareholder value, we will see this result in strong total shareholder return."</t>
  </si>
  <si>
    <t>"We are relentlessly focused on taking action to generate value for shareholders across all our businesses."</t>
  </si>
  <si>
    <t>Yes, at the end of first quarter, we were in line with our leverage objectives and then when we call the $1.5 billion of debt, which has always been in our plans to do that in June, that would increase our debt capacity</t>
  </si>
  <si>
    <t>And from the diversification that we have in the portfolio and the efforts we've had around manager selection, including within the real estate component of that to the part of your question, real estate is actually a relatively modest component of our alternatives, it's 15-ish or so percent.</t>
  </si>
  <si>
    <t>"Last night, we reported quarterly adjusted earnings of $1.2 billion or $1.52 per share, which compares to $1.7 billion or $2.04 per share a year ago."</t>
  </si>
  <si>
    <t>We continue to diligently execute on our strategic and operational priorities, which drove very strong financial results in the first quarter and are positioning AIG for long-term value creation</t>
  </si>
  <si>
    <t>"In total, sales were up 15%, while adjusted PFOs grew 5.4% toward the top end of our outlook expectation after adjusting for participating policies."</t>
  </si>
  <si>
    <t>When it comes to pursuing renewals, if we are unable to achieve our desired level of profitability through appropriate rate action, we choose not to retain that business, which is, in fact, just really addition by subtraction.</t>
  </si>
  <si>
    <t>We also continue to drive our efforts around customer experience with a particular focus on strengthening the product and the offering and the experience to small to midsized enterprises.</t>
  </si>
  <si>
    <t>And finally, even though we did see some unfavorable mortality experience in the quarter, our diverse mix of mortality and longevity businesses helps to mitigate some of that experience over longer-term horizons.</t>
  </si>
  <si>
    <t>But like as we think about CLOs, first of all, from our own portfolio, we are solely a holder of AAA securities within the CLO, within the general account portfolio</t>
  </si>
  <si>
    <t>"And sales were up 18% year-over-year on a constant currency basis, primarily driven by strong growth across the region."</t>
  </si>
  <si>
    <t>"The CSM is amortized into core earnings over time, growing CSM from the generation of profitable new business will support continued in-force earnings growth."</t>
  </si>
  <si>
    <t>"Risk adjustment release contributed $1.1 billion to core earnings in 2022. We expect this amount to be stable and grow over time as we grow the business."</t>
  </si>
  <si>
    <t>"Actions were taken in early 2023 to reduce the related foreign exchange accounting variability going forward."</t>
  </si>
  <si>
    <t>"We posted strong sales numbers, representing responsible growth for most of our key businesses and markets, including Group Benefits, Asia and Latin America."</t>
  </si>
  <si>
    <t>"Latin America's top line continues to perform well, as adjusted PFOs were up 26% year-over-year on a constant currency basis. And sales were up 36% on a constant currency basis, driven by growth across the region."</t>
  </si>
  <si>
    <t>"Given the change in accounting for acquisition expenses and the resulting decrease in expense efficiency ratio, we would explore potentially recalibrating our expense efficiency ratio target over time."</t>
  </si>
  <si>
    <t>"As we've looked at it, we do try to construct a portfolio that's as low vol as we can get."</t>
  </si>
  <si>
    <t>"In the quarter, we announced and closed on the acquisition of Raven Capital Management, an alternative investment manager specializing in direct asset-based investments"</t>
  </si>
  <si>
    <t>"We are active from an -- we were active from an M&amp;A perspective. We announced the acquisition of Raven Capital Management which adds an attractive adjacency to our main business which we think we can scale over time."</t>
  </si>
  <si>
    <t>"And we'll continue to sort of explore M&amp;A opportunities provided those fit strategically or accretive over time, meet our minimum risk-adjusted hurdle rates and the like and we'll remain also disciplined on that front as we always have been."</t>
  </si>
  <si>
    <t>"Lemar, 1 of the big advantages that we have in Asia, apart from being 1 of the top 3 fastest-growing Pan Asian players is that we have actually a very diverse business. And the diversity spans not just geography, but also product lines and channels. We've got a strong agency force, a really strong banker capability."</t>
  </si>
  <si>
    <t>This is another significant milestone for AIG and reflects our commitment to a disciplined, balanced capital management strategy and our confidence in the future earnings power of AIG.</t>
  </si>
  <si>
    <t>Our thoughtful and prudent growth strategy, together with our shift in focus to wholesale distribution, continues to serve us well, particularly in the E&amp;S market.</t>
  </si>
  <si>
    <t>"We saw very robust double-digit growth in new business value in China and APE in China, along with a robust growth in Hong Kong led predominantly by our Mainland Chinese Visitor sales hitting all-time record high actually in line with our strategy."</t>
  </si>
  <si>
    <t>As part of our ongoing review process, we regularly assess the composition of our portfolio of businesses to ensure it is aligned with our long-term strategy and best positioned to create value for our shareholders and other stakeholders</t>
  </si>
  <si>
    <t>"We are expecting that to diversify in coming quarters. Our customer research on Mainland Chinese Visitor customer suggests a growing demand for health and critical illness coverage."</t>
  </si>
  <si>
    <t>"getting back to new business CSM growth at 15% and then total CSM balance growth of 8% to 10% is definitely still something we feel very confident about and certainly through our medium-term focus and targets, that's where we'd like to be, and we see ourselves."</t>
  </si>
  <si>
    <t>Evolving our future state business model will result in us moving away from the conglomerate structure AIG operated in for decades.</t>
  </si>
  <si>
    <t>During the first quarter, we were prepared to launch a secondary offering of Corebridge common stock, but chose not to proceed when equity markets became volatile due to issues in the financial sector.</t>
  </si>
  <si>
    <t>We are confident that our continued progress on strategic initiatives and our capital management strategy will allow us to achieve our ROCE targets and deliver long-term profitable growth that benefits all of our stakeholders.</t>
  </si>
  <si>
    <t>As we consider our deployment strategy at the June 1 renewal cycle, which focuses on U.S. wind exposure, we will continue to maintain a prudent approach on limits deployed.</t>
  </si>
  <si>
    <t>We believe this will help to streamline the Corebridge portfolio and allow it to focus on Life and Retirement products and solutions</t>
  </si>
  <si>
    <t>Given the number of strategic initiatives we are executing at once, we are taking a long-term view while measuring progress in 90-day increments.</t>
  </si>
  <si>
    <t>We continue to maintain appropriate levels of capital in our subsidiaries to support profitable growth. We remain on track to reduce AIG common stock outstanding to be between 600 million and 650 million shares and achieve a debtto-capital leverage at the lower end of our 20% to 25% range post deconsolidation of Corebridge.</t>
  </si>
  <si>
    <t>Over the last several years, we have improved the risk profile of the investment portfolio by reducing capital-intensive, less liquid or more volatile assets such as hedge funds</t>
  </si>
  <si>
    <t>We are already in discussions with many borrowers about their plans and our requirements for refinancing or extension, including additional equity revised terms or other commitments.</t>
  </si>
  <si>
    <t>To wrap up, our first quarter 2023 results demonstrate continued sustained and strong financial results, rising investment portfolio yields, significant progress against strategic initiatives, robust capital and liquidity and continued progress on our path to a 10%-plus ROCE.</t>
  </si>
  <si>
    <t>"Our differentiation in this space led to strong growth in sales and premium fees and other revenues in all market segments and across voluntary products."</t>
  </si>
  <si>
    <t>"We remain focused on managing risks across economic cycles and controlling the things we can control to deliver for our shareholders and our other stakeholders."</t>
  </si>
  <si>
    <t>"We continued to manage our costs with vigilance and to beat our expense targets"</t>
  </si>
  <si>
    <t>"Our Q1 direct expense ratio benefited from solid top line growth and ongoing expense discipline."</t>
  </si>
  <si>
    <t>"We remain committed to achieving a full year direct expense ratio of 12.6% or below in 2023, demonstrating our consistent execution and focus on an efficiency mindset."</t>
  </si>
  <si>
    <t>We've never had a strategy that we're going to time the market with our reinsurance partners. They've always been strategic. They've always been supportive. They've always deployed the capital in support of AIG. And so we were not going to do anything, other than to try to get the appropriate terms and conditions with them and have not really changed much of our risk appetite in terms of taking that.</t>
  </si>
  <si>
    <t>"Aided by MetLife's strategic M&amp;A capabilities, we were able to add an important investment product adjacency that we expect MetLife Investment Management to scale over time."</t>
  </si>
  <si>
    <t>The reason for that is as we were repositioning the business over the last 2 years, we bought very low excess of loss catastrophe reinsurance. We bought a substantial quota share. We ceded a significant amount of Syndicate 2019, which also had retrocession behind that in a variety of forms.</t>
  </si>
  <si>
    <t>And so part of the repositioning with Stone Point and having an MGA, one is that we think there's tremendous growth opportunities that exist in the business with other capital providers and believe that how we have repositioned the business through rate increases and disciplined underwriting on the admitted side, and then also the non-admitted became an option for us to have flexibility in form and rate</t>
  </si>
  <si>
    <t>"Please note that prior comparative periods have been recast to conform with LDTI."</t>
  </si>
  <si>
    <t>"The appendix also includes slides which provide our full year 2021 and 2022 adjusted earnings recasted for the new LDTI accounting basis."</t>
  </si>
  <si>
    <t>"We have itemized a new reconciling item between net income and adjusted earnings as a result of LDTI, called market risk benefit or MRB gains and losses."</t>
  </si>
  <si>
    <t>And when I look at where we decided to grow, we constantly talk about where the best risk-adjusted returns available in the marketplace, where is our capacity most valued and where we value for clients</t>
  </si>
  <si>
    <t>"Our differentiation in this space led to strong growth in sales and premium fees and other revenues in all market segments and across voluntary products.</t>
  </si>
  <si>
    <t>"In total, net income for the quarter was $14 million, driven by losses on opportunistic investment sales in Japan which offset the tax impact on the gain generated by our recent Japanese A&amp;H Reinsurance transaction."</t>
  </si>
  <si>
    <t>"And prudent risk selection helped push recurring investment income higher while new money rate reached 5.8% for the quarter."</t>
  </si>
  <si>
    <t>"Adjusted PFOs in the quarter benefited from our sustained efforts to grow our structured settlement and our longevity reinsurance businesses."</t>
  </si>
  <si>
    <t>"We have a long time horizon and invest with our liabilities in mind."</t>
  </si>
  <si>
    <t>"We expect to reduce this balance over time as part of our normal ALM process"</t>
  </si>
  <si>
    <t>"Our strategy around the region is really centered around 3 pillars. One is protecting the core, the other one is growth through diversification. And all that underpins through a transformation to meet our customers' and our partners' evolving need. So I can give you a couple of examples that -- of the execution of this strategy around the region."</t>
  </si>
  <si>
    <t>"So in Mexico, which is our third largest market globally, we have a very unique government franchise that continues to grow very nicely, but in parallel, we've been very successful in diversifying and expanding that distribution reach into the private sector both in retail and group"</t>
  </si>
  <si>
    <t>"We are strategically well positioned to grow in this attractive business given our scale, distribution reach, broad product portfolio, enrollment capabilities and importantly our thought leadership"</t>
  </si>
  <si>
    <t>" In Chile, where we have a very strong face-to-face agency franchise, we're growing very fast our bancassurance and third-party distribution"</t>
  </si>
  <si>
    <t>Second, we launched a new electronic claims portal for life insurance customers that allows beneficiaries to file claims in minutes and to receive payments in days rather than weeks. By using the portal this quarter, we have experienced a 300% increase in digital claims processing and overwhelmingly positive customer feedback</t>
  </si>
  <si>
    <t>"Taken together, these actions demonstrate our commitment to being a sound capital steward for our shareholders. In the absence of responsible organic growth or compelling M&amp;A opportunities, we will return capital over time to our shareholders."</t>
  </si>
  <si>
    <t>"We are leveraging our Health and Wellness platform, ManulifeMOVE to drive incremental sales. We've seen strong adoption of our app with over 50% of in-force eligible customers activating the app, of which over 1/3 have made a subsequent insurance purchase."</t>
  </si>
  <si>
    <t>Workforce</t>
  </si>
  <si>
    <t>With regard to any signs of impacts from workforce reductions, we really aren't seeing any impact on our business at this point in time. While there clearly have been quite a few large layoff announcements that have generated their share of headlines, overall employment conditions continue to be strong.</t>
  </si>
  <si>
    <t>Is that an internal process where you use your team? Or do you go externally and hire firms to kind of confirm or validate your approach</t>
  </si>
  <si>
    <t>"I am incredibly proud of all of our colleagues who worked tirelessly to deliver a smooth transition."</t>
  </si>
  <si>
    <t>"And there the focus is really on bancassurance and third-party distribution."</t>
  </si>
  <si>
    <t>"So in our case, that's come from investments in our human capital. We've built a world-class team of clinicians who diligently work on returning people to health."</t>
  </si>
  <si>
    <t>Similarity Score</t>
  </si>
  <si>
    <t>Match/No-match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</si>
</sst>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name val="Calibri"/>
      <family val="2"/>
    </font>
    <font>
      <b/>
      <sz val="11"/>
      <color theme="1"/>
      <name val="Calibri"/>
      <family val="2"/>
      <scheme val="minor"/>
    </font>
    <font>
      <sz val="10"/>
      <color theme="1"/>
      <name val="Calibri"/>
      <family val="2"/>
      <scheme val="minor"/>
    </font>
    <font>
      <b/>
      <sz val="10"/>
      <color theme="2"/>
      <name val="Arial"/>
      <family val="2"/>
    </font>
    <font>
      <sz val="10"/>
      <color rgb="FF000000"/>
      <name val="Arial"/>
      <family val="2"/>
    </font>
  </fonts>
  <fills count="4">
    <fill>
      <patternFill patternType="none"/>
    </fill>
    <fill>
      <patternFill patternType="gray125"/>
    </fill>
    <fill>
      <patternFill patternType="solid">
        <fgColor rgb="FFC00000"/>
        <bgColor indexed="64"/>
      </patternFill>
    </fill>
    <fill>
      <patternFill patternType="solid">
        <fgColor theme="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3" fillId="0" borderId="0"/>
  </cellStyleXfs>
  <cellXfs count="23">
    <xf numFmtId="0" fontId="0" fillId="0" borderId="0" xfId="0"/>
    <xf numFmtId="0" fontId="1" fillId="0" borderId="1" xfId="0" applyFont="1" applyBorder="1" applyAlignment="1">
      <alignment horizontal="center" vertical="top"/>
    </xf>
    <xf numFmtId="0" fontId="2" fillId="0" borderId="0" xfId="0" applyFont="1"/>
    <xf numFmtId="0" fontId="4" fillId="2" borderId="2" xfId="1" applyFont="1" applyFill="1" applyBorder="1"/>
    <xf numFmtId="0" fontId="4" fillId="2" borderId="3" xfId="1" applyFont="1" applyFill="1" applyBorder="1"/>
    <xf numFmtId="0" fontId="4" fillId="2" borderId="4" xfId="1" applyFont="1" applyFill="1" applyBorder="1"/>
    <xf numFmtId="0" fontId="3" fillId="0" borderId="0" xfId="1"/>
    <xf numFmtId="0" fontId="5" fillId="3" borderId="3" xfId="1" applyFont="1" applyFill="1" applyBorder="1"/>
    <xf numFmtId="0" fontId="3" fillId="3" borderId="1" xfId="1" applyFill="1" applyBorder="1"/>
    <xf numFmtId="0" fontId="5" fillId="3" borderId="1" xfId="1" applyFont="1" applyFill="1" applyBorder="1"/>
    <xf numFmtId="0" fontId="5" fillId="3" borderId="5" xfId="1" applyFont="1" applyFill="1" applyBorder="1"/>
    <xf numFmtId="0" fontId="3" fillId="3" borderId="0" xfId="1" applyFill="1"/>
    <xf numFmtId="0" fontId="3" fillId="3" borderId="6" xfId="1" applyFill="1" applyBorder="1"/>
    <xf numFmtId="0" fontId="3" fillId="3" borderId="5" xfId="1" applyFill="1" applyBorder="1"/>
    <xf numFmtId="0" fontId="5" fillId="3" borderId="6" xfId="1" applyFont="1" applyFill="1" applyBorder="1"/>
    <xf numFmtId="0" fontId="3" fillId="3" borderId="7" xfId="1" applyFill="1" applyBorder="1"/>
    <xf numFmtId="0" fontId="5" fillId="3" borderId="8" xfId="1" applyFont="1" applyFill="1" applyBorder="1"/>
    <xf numFmtId="0" fontId="5" fillId="3" borderId="9" xfId="1" applyFont="1" applyFill="1" applyBorder="1"/>
    <xf numFmtId="0" fontId="5" fillId="3" borderId="0" xfId="1" applyFont="1" applyFill="1"/>
    <xf numFmtId="0" fontId="5" fillId="3" borderId="1" xfId="1" quotePrefix="1" applyFont="1" applyFill="1" applyBorder="1"/>
    <xf numFmtId="0" fontId="5" fillId="3" borderId="7" xfId="1" applyFont="1" applyFill="1" applyBorder="1"/>
    <xf numFmtId="0" fontId="2" fillId="0" borderId="0" xfId="0" applyFont="1" applyFill="1" applyBorder="1" applyAlignment="1"/>
    <xf numFmtId="0" fontId="0" fillId="0" borderId="0" xfId="0" applyAlignment="1"/>
  </cellXfs>
  <cellStyles count="2">
    <cellStyle name="Normal" xfId="0" builtinId="0"/>
    <cellStyle name="Normal 2" xfId="1" xr:uid="{0E4ED4B8-8348-4118-9F3E-AF6C672FE7A4}"/>
  </cellStyles>
  <dxfs count="18">
    <dxf>
      <fill>
        <patternFill>
          <fgColor indexed="64"/>
          <bgColor theme="2"/>
        </patternFill>
      </fill>
    </dxf>
    <dxf>
      <numFmt numFmtId="0" formatCode="General"/>
      <fill>
        <patternFill>
          <fgColor indexed="64"/>
          <bgColor theme="2"/>
        </patternFill>
      </fill>
    </dxf>
    <dxf>
      <numFmt numFmtId="0" formatCode="General"/>
      <fill>
        <patternFill>
          <fgColor indexed="64"/>
          <bgColor theme="2"/>
        </patternFill>
      </fill>
    </dxf>
    <dxf>
      <font>
        <b val="0"/>
        <i val="0"/>
        <strike val="0"/>
        <condense val="0"/>
        <extend val="0"/>
        <outline val="0"/>
        <shadow val="0"/>
        <u val="none"/>
        <vertAlign val="baseline"/>
        <sz val="10"/>
        <color rgb="FF000000"/>
        <name val="Arial"/>
        <family val="2"/>
        <scheme val="none"/>
      </font>
      <fill>
        <patternFill>
          <fgColor indexed="64"/>
          <bgColor theme="2"/>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rgb="FF000000"/>
        <name val="Arial"/>
        <family val="2"/>
        <scheme val="none"/>
      </font>
      <fill>
        <patternFill>
          <fgColor indexed="64"/>
          <bgColor theme="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fill>
        <patternFill>
          <fgColor indexed="64"/>
          <bgColor theme="2"/>
        </patternFill>
      </fill>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fill>
        <patternFill>
          <fgColor indexed="64"/>
          <bgColor theme="2"/>
        </patternFill>
      </fill>
      <border diagonalUp="0" diagonalDown="0" outline="0">
        <left/>
        <right style="thin">
          <color auto="1"/>
        </right>
        <top style="thin">
          <color auto="1"/>
        </top>
        <bottom style="thin">
          <color auto="1"/>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ill>
        <patternFill>
          <fgColor indexed="64"/>
          <bgColor theme="2"/>
        </patternFill>
      </fill>
    </dxf>
    <dxf>
      <font>
        <b/>
        <i val="0"/>
        <strike val="0"/>
        <condense val="0"/>
        <extend val="0"/>
        <outline val="0"/>
        <shadow val="0"/>
        <u val="none"/>
        <vertAlign val="baseline"/>
        <sz val="10"/>
        <color theme="2"/>
        <name val="Arial"/>
        <family val="2"/>
        <scheme val="none"/>
      </font>
      <fill>
        <patternFill patternType="solid">
          <fgColor indexed="64"/>
          <bgColor rgb="FFC00000"/>
        </patternFill>
      </fill>
      <border diagonalUp="0" diagonalDown="0" outline="0">
        <left style="thin">
          <color auto="1"/>
        </left>
        <right style="thin">
          <color auto="1"/>
        </right>
        <top/>
        <bottom/>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s>
  <tableStyles count="1" defaultTableStyle="TableStyleMedium9" defaultPivotStyle="PivotStyleLight16">
    <tableStyle name="General Table Style" pivot="0" count="6" xr9:uid="{C847A953-66C0-47E7-A4FC-445679BB882A}">
      <tableStyleElement type="wholeTable" dxfId="17"/>
      <tableStyleElement type="headerRow" dxfId="16"/>
      <tableStyleElement type="totalRow" dxfId="15"/>
      <tableStyleElement type="firstColumn" dxfId="14"/>
      <tableStyleElement type="lastColumn" dxfId="13"/>
      <tableStyleElement type="first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RichValueTypes" Target="richData/rdRichValueTypes.xml"/><Relationship Id="rId3" Type="http://schemas.openxmlformats.org/officeDocument/2006/relationships/externalLink" Target="externalLinks/externalLink1.xml"/><Relationship Id="rId7" Type="http://schemas.openxmlformats.org/officeDocument/2006/relationships/sharedStrings" Target="sharedStrings.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SupportingPropertyBagStructure" Target="richData/rdsupportingpropertybagstructure.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externalLink" Target="externalLinks/externalLink2.xml"/><Relationship Id="rId9" Type="http://schemas.microsoft.com/office/2017/06/relationships/rdRichValue" Target="richData/rdrichvalue.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inandcompany-my.sharepoint.com/personal/harshit_chopra_bain_com/Documents/Desktop/FS%20ECR/results/validation_extractions_31July25_results.xlsx" TargetMode="External"/><Relationship Id="rId1" Type="http://schemas.openxmlformats.org/officeDocument/2006/relationships/externalLinkPath" Target="/personal/harshit_chopra_bain_com/Documents/Desktop/FS%20ECR/results/validation_extractions_31July25_resul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73335\Downloads\Commentary_Classification_with_Rationale.xlsx" TargetMode="External"/><Relationship Id="rId1" Type="http://schemas.openxmlformats.org/officeDocument/2006/relationships/externalLinkPath" Target="file:///C:\Users\73335\Downloads\Commentary_Classification_with_Rationa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table"/>
      <sheetName val="Theme x Firm"/>
      <sheetName val="Analysis"/>
      <sheetName val="FS Consolidated Comments"/>
      <sheetName val="Consolidated Testing(7-10)"/>
      <sheetName val="Sample"/>
      <sheetName val="Iteration 3"/>
      <sheetName val="Iteration 3 (testing)"/>
      <sheetName val="FuzzyLookup_AddIn_Undo_Sheet"/>
      <sheetName val="Testing Prudential"/>
      <sheetName val="Testing AIG"/>
      <sheetName val="Testing Manulife"/>
      <sheetName val="Testing MetLife"/>
      <sheetName val="Raw data&gt;&gt;"/>
      <sheetName val="Prudential Comments"/>
      <sheetName val="Manulife Comments "/>
      <sheetName val="Metlife Comments"/>
      <sheetName val="AIG Comments"/>
    </sheetNames>
    <sheetDataSet>
      <sheetData sheetId="0"/>
      <sheetData sheetId="1"/>
      <sheetData sheetId="2"/>
      <sheetData sheetId="3"/>
      <sheetData sheetId="4">
        <row r="4">
          <cell r="C4" t="str">
            <v>Theme</v>
          </cell>
          <cell r="G4" t="str">
            <v>Commentary</v>
          </cell>
          <cell r="J4" t="str">
            <v>Accuracy</v>
          </cell>
        </row>
        <row r="5">
          <cell r="C5" t="str">
            <v>Business/ top line growth</v>
          </cell>
          <cell r="G5" t="str">
            <v>Our Institutional Retirement Strategies business had strong first quarter sales, largely driven by our pension risk transfer business, which had its best first quarter ever with more than $2.8 billion in total new business transactions.</v>
          </cell>
          <cell r="J5">
            <v>1</v>
          </cell>
        </row>
        <row r="6">
          <cell r="C6" t="str">
            <v>Business/ top line growth</v>
          </cell>
          <cell r="G6" t="str">
            <v>We also achieved new growth milestones in our international business, especially in Latin America, where Prudential of Brazil's sales reached double-digit year-over-year growth through our three distribution channels.</v>
          </cell>
          <cell r="J6">
            <v>1</v>
          </cell>
        </row>
        <row r="7">
          <cell r="C7" t="str">
            <v>Business/ top line growth</v>
          </cell>
          <cell r="G7" t="str">
            <v>These results reflect underlying business growth, including the benefits from a higher interest rate environment, offset by lower variable investment and fee income as well as elevated seasonal mortality experience</v>
          </cell>
          <cell r="J7">
            <v>0</v>
          </cell>
        </row>
        <row r="8">
          <cell r="C8" t="str">
            <v>Business/ top line growth</v>
          </cell>
          <cell r="G8" t="str">
            <v>Our Institutional Retirement Strategies business had strong first quarter sales, largely driven by our pension risk transfer business, which had its best first quarter ever with more than $2.8 billion in total new business transactions.</v>
          </cell>
          <cell r="J8">
            <v>1</v>
          </cell>
        </row>
        <row r="9">
          <cell r="C9" t="str">
            <v>Business/ top line growth</v>
          </cell>
          <cell r="G9" t="str">
            <v>In Q1, we experienced third-party net outflows of $14 billion kind of driven both by Retail and Institutional.</v>
          </cell>
          <cell r="J9">
            <v>1</v>
          </cell>
        </row>
        <row r="10">
          <cell r="C10" t="str">
            <v>M&amp;A</v>
          </cell>
          <cell r="G10" t="str">
            <v>Yesterday, we announced that Prudential is acquiring a majority stake in Deerpath Capital Management, a leading U.S. private credit and direct lending manager with more than $5 billion in assets under management.</v>
          </cell>
          <cell r="J10">
            <v>1</v>
          </cell>
        </row>
        <row r="11">
          <cell r="C11" t="str">
            <v>M&amp;A</v>
          </cell>
          <cell r="G11" t="str">
            <v>We did programmatic M&amp;A with the Deerpath Capital, we returned capital to shareholders, both in the form of dividends and share repurchases and we made an announcement to repay hybrid, which lowers our -- the hybrid, which lowers our leverage.</v>
          </cell>
          <cell r="J11">
            <v>1</v>
          </cell>
        </row>
        <row r="12">
          <cell r="C12" t="str">
            <v>M&amp;A</v>
          </cell>
          <cell r="G12" t="str">
            <v>Yesterday, we announced that Prudential is acquiring a majority stake in Deerpath Capital Management, a leading U.S. private credit and direct lending manager with more than $5 billion in assets under management.</v>
          </cell>
          <cell r="J12">
            <v>1</v>
          </cell>
        </row>
        <row r="13">
          <cell r="C13" t="str">
            <v>M&amp;A</v>
          </cell>
          <cell r="G13" t="str">
            <v>We continue to shift towards higher growth and less market-sensitive products and markets, enhance our customer and adviser experiences and further expand our addressable market.</v>
          </cell>
          <cell r="J13">
            <v>1</v>
          </cell>
        </row>
        <row r="14">
          <cell r="C14" t="str">
            <v>M&amp;A</v>
          </cell>
          <cell r="G14" t="str">
            <v>We did programmatic M&amp;A with the Deerpath Capital, we returned capital to shareholders, both in the form of dividends and share repurchases and we made an announcement to repay hybrid, which lowers our -- the hybrid, which lowers our leverage.</v>
          </cell>
          <cell r="J14">
            <v>1</v>
          </cell>
        </row>
        <row r="15">
          <cell r="C15" t="str">
            <v>Macro factors</v>
          </cell>
          <cell r="G15" t="str">
            <v>We continue to make meaningful progress across AIG and achieve important milestones, even in the face of ongoing complexity in the insurance industry, volatile market conditions and general economic uncertainty</v>
          </cell>
          <cell r="J15">
            <v>1</v>
          </cell>
        </row>
        <row r="16">
          <cell r="C16" t="str">
            <v>Macro factors</v>
          </cell>
          <cell r="G16" t="str">
            <v>During the first quarter, we were prepared to launch a secondary offering of Corebridge common stock, but chose not to proceed when equity markets became volatile due to issues in the financial sector.</v>
          </cell>
          <cell r="J16">
            <v>0</v>
          </cell>
        </row>
        <row r="17">
          <cell r="C17" t="str">
            <v>Macro factors</v>
          </cell>
          <cell r="G17" t="str">
            <v>In addition to the first quarter share repurchases and dividends that I mentioned earlier, against the backdrop of an unstable macroeconomic environment, we thought it was prudent to raise $750 million of debt at the end of March.</v>
          </cell>
          <cell r="J17">
            <v>1</v>
          </cell>
        </row>
        <row r="18">
          <cell r="C18" t="str">
            <v>Macro factors</v>
          </cell>
          <cell r="G18" t="str">
            <v>Turning to AIG's balance sheet. Book value per common share was $58.87 at quarter end, up 7% from year-end, principally due to higher valuations on available-for-sale securities due to lower long-term interest rates</v>
          </cell>
          <cell r="J18">
            <v>0</v>
          </cell>
        </row>
        <row r="19">
          <cell r="C19" t="str">
            <v>Macro factors</v>
          </cell>
          <cell r="G19" t="str">
            <v>Our objective has not changed, which is for AIG to reduce its ownership stake in Corebridge over time.</v>
          </cell>
          <cell r="J19">
            <v>0</v>
          </cell>
        </row>
        <row r="20">
          <cell r="C20" t="str">
            <v>Operational/ cost efficiency</v>
          </cell>
          <cell r="G20" t="str">
            <v>And then finally, we remain focused on expense discipline. and continuous improvement in operating efficiency with an eye towards protecting the bottom line.</v>
          </cell>
          <cell r="J20">
            <v>1</v>
          </cell>
        </row>
        <row r="21">
          <cell r="C21" t="str">
            <v>Operational/ cost efficiency</v>
          </cell>
          <cell r="G21" t="str">
            <v>Second, we launched a new electronic claims portal for life insurance customers that allows beneficiaries to file claims in minutes and to receive payments in days rather than weeks. By using the portal this quarter, we have experienced a 300% increase in digital claims processing and overwhelmingly positive customer feedback</v>
          </cell>
          <cell r="J21">
            <v>0</v>
          </cell>
        </row>
        <row r="22">
          <cell r="C22" t="str">
            <v>Product expansion</v>
          </cell>
          <cell r="G22" t="str">
            <v>. In the U.S., our individual retirement strategies business continued to expand its suite of next-generation protection solutions. We expanded our FlexGuard distribution and introduced new product enhancements to meet the evolving needs of our customers</v>
          </cell>
          <cell r="J22">
            <v>1</v>
          </cell>
        </row>
        <row r="23">
          <cell r="C23" t="str">
            <v>Product expansion</v>
          </cell>
          <cell r="G23" t="str">
            <v>our work on innovating our product designs continues as we drive to ensure that we meet the needs for retirement, wealth transfer and unmet health and care needs.</v>
          </cell>
          <cell r="J23">
            <v>1</v>
          </cell>
        </row>
        <row r="24">
          <cell r="C24" t="str">
            <v>Product expansion</v>
          </cell>
          <cell r="G24" t="str">
            <v>We do continue to believe that this business is core to Prudential's purpose and we like the growth potential with our overall brand as well as our product breadth and certainly our distribution strength.</v>
          </cell>
          <cell r="J24">
            <v>1</v>
          </cell>
        </row>
        <row r="25">
          <cell r="C25" t="str">
            <v>Product expansion</v>
          </cell>
          <cell r="G25" t="str">
            <v>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v>
          </cell>
          <cell r="J25">
            <v>1</v>
          </cell>
        </row>
        <row r="26">
          <cell r="C26" t="str">
            <v>Product expansion</v>
          </cell>
          <cell r="G26" t="str">
            <v>. In the U.S., our individual retirement strategies business continued to expand its suite of next-generation protection solutions. We expanded our FlexGuard distribution and introduced new product enhancements to meet the evolving needs of our customers</v>
          </cell>
          <cell r="J26">
            <v>1</v>
          </cell>
        </row>
        <row r="27">
          <cell r="C27" t="str">
            <v>Product expansion</v>
          </cell>
          <cell r="G27" t="str">
            <v>We also continue to drive our efforts around customer experience with a particular focus on strengthening the product and the offering and the experience to small to midsized enterprises.</v>
          </cell>
          <cell r="J27">
            <v>0</v>
          </cell>
        </row>
        <row r="28">
          <cell r="C28" t="str">
            <v>Regulatory or accounting update</v>
          </cell>
          <cell r="G28" t="str">
            <v>So obviously, as you state, LDTI is expected to result in a meaningful decline in earnings this year for the Life business as AOI recognition will be deferred</v>
          </cell>
          <cell r="J28">
            <v>1</v>
          </cell>
        </row>
        <row r="29">
          <cell r="C29" t="str">
            <v>Regulatory or accounting update</v>
          </cell>
          <cell r="G29" t="str">
            <v>Yes, the NAIC is in the process of addressing what is uneconomic issues with the IMR. They -- as you mentioned, they've released a proposal, and that's out for comment until June 9.</v>
          </cell>
          <cell r="J29">
            <v>1</v>
          </cell>
        </row>
        <row r="30">
          <cell r="C30" t="str">
            <v>Macro factors</v>
          </cell>
          <cell r="G30" t="str">
            <v>Our objective has not changed, which is for AIG to reduce its ownership stake in Corebridge over time.</v>
          </cell>
          <cell r="J30">
            <v>0</v>
          </cell>
        </row>
        <row r="31">
          <cell r="C31" t="str">
            <v>Macro factors</v>
          </cell>
          <cell r="G31" t="str">
            <v>Additionally, over the last few years, the average size of a Lexington Property primary policy went from $100 million in limits deployed to $5 million.</v>
          </cell>
          <cell r="J31">
            <v>0</v>
          </cell>
        </row>
        <row r="32">
          <cell r="C32" t="str">
            <v>Strategy</v>
          </cell>
          <cell r="G32" t="str">
            <v>Turning to Life and Retirement. The business delivered strong performance in the first quarter. Adjusted pretax income was $886 million for the first quarter, and adjusted return on segment equity was 10.7%.</v>
          </cell>
          <cell r="J32">
            <v>0</v>
          </cell>
        </row>
        <row r="33">
          <cell r="C33" t="str">
            <v>Strategy</v>
          </cell>
          <cell r="G33" t="str">
            <v>We continue to diligently execute on our strategic and operational priorities, which drove very strong financial results in the first quarter and are positioning AIG for long-term value creation</v>
          </cell>
          <cell r="J33">
            <v>1</v>
          </cell>
        </row>
        <row r="34">
          <cell r="C34" t="str">
            <v>Strategy</v>
          </cell>
          <cell r="G34" t="str">
            <v>We are confident that our continued progress on strategic initiatives and our capital management strategy will allow us to achieve our ROCE targets and deliver long-term profitable growth that benefits all of our stakeholders.</v>
          </cell>
          <cell r="J34">
            <v>1</v>
          </cell>
        </row>
        <row r="35">
          <cell r="C35" t="str">
            <v>Strategy</v>
          </cell>
          <cell r="G35" t="str">
            <v>Corebridge and Blackstone have made substantial progress advancing their strategic partnership, which began in late 2021. Since that time, Blackstone has invested approximately $11 billion on behalf of Corebridge, with an average gross yield of 6.5% and an average credit rating of A</v>
          </cell>
          <cell r="J35">
            <v>0</v>
          </cell>
        </row>
        <row r="36">
          <cell r="C36" t="str">
            <v>Strategy</v>
          </cell>
          <cell r="G36" t="str">
            <v>We continue to be prepared and disciplined in terms of executing a secondary offering, which remains our base case for selling down our ownership in Corebridge, subject to market conditions and regulatory approvals. We remain committed to reducing our ownership interest in Corebridge and will explore other options that are aligned with the best interest of shareholders.</v>
          </cell>
          <cell r="J36">
            <v>0</v>
          </cell>
        </row>
        <row r="37">
          <cell r="C37" t="str">
            <v>Strategy</v>
          </cell>
          <cell r="G37" t="str">
            <v>First quarter results reflect our continued repositioning of this business, especially PCG, given our announcement of the creation of a managing general agency in partnership with Stone Point Capital.</v>
          </cell>
          <cell r="J37">
            <v>0</v>
          </cell>
        </row>
        <row r="38">
          <cell r="C38" t="str">
            <v>Tech transformation</v>
          </cell>
          <cell r="G38" t="str">
            <v>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v>
          </cell>
          <cell r="J38">
            <v>0</v>
          </cell>
        </row>
        <row r="39">
          <cell r="C39" t="str">
            <v>Tech transformation</v>
          </cell>
          <cell r="G39" t="str">
            <v>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v>
          </cell>
          <cell r="J39">
            <v>0</v>
          </cell>
        </row>
        <row r="40">
          <cell r="C40" t="str">
            <v>Tech transformation</v>
          </cell>
          <cell r="G40" t="str">
            <v>We continue to enhance the ways in which customers engage with our products and solutions to drive more digital experiences and better customer outcomes.</v>
          </cell>
          <cell r="J40">
            <v>1</v>
          </cell>
        </row>
        <row r="41">
          <cell r="C41" t="str">
            <v>Tech transformation</v>
          </cell>
          <cell r="G41" t="str">
            <v>First, an industry survey ranked Prudential as a top 3 carrier in e-signature adoption. A majority of annuities applications are now submitted with e-signature, which has reduced processing time by several days and improved our environmental impact.</v>
          </cell>
          <cell r="J41">
            <v>1</v>
          </cell>
        </row>
        <row r="42">
          <cell r="C42" t="str">
            <v>Tech transformation</v>
          </cell>
          <cell r="G42" t="str">
            <v>Second, we launched a new electronic claims portal for life insurance customers that allows beneficiaries to file claims in minutes and to receive payments in days rather than weeks. By using the portal this quarter, we have experienced a 300% increase in digital claims processing and overwhelmingly positive customer feedback</v>
          </cell>
          <cell r="J42">
            <v>1</v>
          </cell>
        </row>
        <row r="43">
          <cell r="C43" t="str">
            <v>Tech transformation</v>
          </cell>
          <cell r="G43" t="str">
            <v>Second, we launched a new electronic claims portal for life insurance customers that allows beneficiaries to file claims in minutes and to receive payments in days rather than weeks. By using the portal this quarter, we have experienced a 300% increase in digital claims processing and overwhelmingly positive customer feedback</v>
          </cell>
          <cell r="J43">
            <v>1</v>
          </cell>
        </row>
        <row r="44">
          <cell r="C44" t="str">
            <v>Tech transformation</v>
          </cell>
          <cell r="G44" t="str">
            <v>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v>
          </cell>
          <cell r="J44">
            <v>0</v>
          </cell>
        </row>
        <row r="45">
          <cell r="C45" t="str">
            <v>Tech transformation</v>
          </cell>
          <cell r="G45" t="str">
            <v>We continue to enhance the ways in which customers engage with our products and solutions to drive more digital experiences and better customer outcomes.</v>
          </cell>
          <cell r="J45">
            <v>1</v>
          </cell>
        </row>
        <row r="46">
          <cell r="C46" t="str">
            <v>Workforce</v>
          </cell>
          <cell r="G46" t="str">
            <v>And another question around Japan. I believe they're lifting pandemic-related restrictions, categorizing COVID like infectious disease or like the influenza.</v>
          </cell>
          <cell r="J46">
            <v>0</v>
          </cell>
        </row>
        <row r="47">
          <cell r="C47" t="str">
            <v>Workforce</v>
          </cell>
          <cell r="G47" t="str">
            <v>With regard to any signs of impacts from workforce reductions, we really aren't seeing any impact on our business at this point in time. While there clearly have been quite a few large layoff announcements that have generated their share of headlines, overall employment conditions continue to be strong.</v>
          </cell>
          <cell r="J47">
            <v>1</v>
          </cell>
        </row>
        <row r="48">
          <cell r="C48" t="str">
            <v>Business/ top line growth</v>
          </cell>
          <cell r="G48" t="str">
            <v>Turning to the segments. GI adjusted pretax income, or APTI, was $1.2 billion, $37 million higher than 1Q '22, principally due to a $56 million increase in underwriting income from both higher-earned premiums and a 1 point improvement in the calendar year combined ratio, which was 91.9%.</v>
          </cell>
          <cell r="J48">
            <v>1</v>
          </cell>
        </row>
        <row r="49">
          <cell r="C49" t="str">
            <v>Business/ top line growth</v>
          </cell>
          <cell r="G49" t="str">
            <v>First, the 1-month lag in financial reporting for the General Insurance International segment was eliminated last quarter.</v>
          </cell>
          <cell r="J49">
            <v>1</v>
          </cell>
        </row>
        <row r="50">
          <cell r="C50" t="str">
            <v>Business/ top line growth</v>
          </cell>
          <cell r="G50" t="str">
            <v>Net premiums written in General Insurance grew 10% on a constant dollar basis and adjusted for the International lag elimination that we discussed on our last call. This growth was driven by our Commercial business.</v>
          </cell>
          <cell r="J50">
            <v>1</v>
          </cell>
        </row>
        <row r="51">
          <cell r="C51" t="str">
            <v>Business/ top line growth</v>
          </cell>
          <cell r="G51" t="str">
            <v>Strong retention, new business and rate have been the key drivers of Lexington's financial performance. Lexington has now seen double-digit rate increases for 16 consecutive quarters, and cumulative compounded rate increases totaled over 100% since the first quarter of 2018.</v>
          </cell>
          <cell r="J51">
            <v>1</v>
          </cell>
        </row>
        <row r="52">
          <cell r="C52" t="str">
            <v>Business/ top line growth</v>
          </cell>
          <cell r="G52" t="str">
            <v>Life and Retirement reported very good results, with premiums and deposits of $10.4 billion in the first quarter, a 44% increase yearover-year, supported by record sales in fixed annuity and fixed index annuity products.</v>
          </cell>
          <cell r="J52">
            <v>1</v>
          </cell>
        </row>
        <row r="53">
          <cell r="C53" t="str">
            <v>Business/ top line growth</v>
          </cell>
          <cell r="G53" t="str">
            <v>Gross premiums written were $12 billion, an increase of 9%, with Global Commercial growing 13% and Global Personal decreasing 4%. Net premiums written were $7 billion, an increase of 10%. This growth was primarily driven by Global Commercial, which grew 11%, while Global Personal grew 6%.</v>
          </cell>
          <cell r="J53">
            <v>1</v>
          </cell>
        </row>
        <row r="54">
          <cell r="C54" t="str">
            <v>Business/ top line growth</v>
          </cell>
          <cell r="G54" t="str">
            <v>In North America Commercial, we saw a very strong growth of 15% in net premiums written due to Validus Re, which had over 40% growth year-over-year due to the exceptional results we achieved with our January 1 treaty placements, which I discussed in detail on our last call</v>
          </cell>
          <cell r="J54">
            <v>1</v>
          </cell>
        </row>
        <row r="55">
          <cell r="C55" t="str">
            <v>M&amp;A</v>
          </cell>
          <cell r="G55" t="str">
            <v>Corebridge and Blackstone have made substantial progress advancing their strategic partnership, which began in late 2021. Since that time, Blackstone has invested approximately $11 billion on behalf of Corebridge, with an average gross yield of 6.5% and an average credit rating of A</v>
          </cell>
          <cell r="J55">
            <v>1</v>
          </cell>
        </row>
        <row r="56">
          <cell r="C56" t="str">
            <v>M&amp;A</v>
          </cell>
          <cell r="G56" t="str">
            <v>As part of this review, as you saw in our announcement on Tuesday, we executed a definitive documentation to sell Crop Risk Services, or CRS, to American Financial Group for $240 million.</v>
          </cell>
          <cell r="J56">
            <v>1</v>
          </cell>
        </row>
        <row r="57">
          <cell r="C57" t="str">
            <v>M&amp;A</v>
          </cell>
          <cell r="G57" t="str">
            <v>After a comprehensive review of the health product offering, we decided to evaluate strategic alternatives and a potential sale of Laya Healthcare, the private medical insurance business in Ireland</v>
          </cell>
          <cell r="J57">
            <v>1</v>
          </cell>
        </row>
        <row r="58">
          <cell r="C58" t="str">
            <v>M&amp;A</v>
          </cell>
          <cell r="G58" t="str">
            <v>Our objective has not changed, which is for AIG to reduce its ownership stake in Corebridge over time.</v>
          </cell>
          <cell r="J58">
            <v>1</v>
          </cell>
        </row>
        <row r="59">
          <cell r="C59" t="str">
            <v>M&amp;A</v>
          </cell>
          <cell r="G59" t="str">
            <v>We continue to be prepared and disciplined in terms of executing a secondary offering, which remains our base case for selling down our ownership in Corebridge, subject to market conditions and regulatory approvals. We remain committed to reducing our ownership interest in Corebridge and will explore other options that are aligned with the best interest of shareholders.</v>
          </cell>
          <cell r="J59">
            <v>1</v>
          </cell>
        </row>
        <row r="60">
          <cell r="C60" t="str">
            <v>M&amp;A</v>
          </cell>
          <cell r="G60" t="str">
            <v>Last week, we executed a definitive documentation with Stone Point Capital for the launch of Private Client Services, an MGA that will serve the high and ultra-high net worth market.</v>
          </cell>
          <cell r="J60">
            <v>1</v>
          </cell>
        </row>
        <row r="61">
          <cell r="C61" t="str">
            <v>Strategy</v>
          </cell>
          <cell r="G61" t="str">
            <v>Our thoughtful and prudent growth strategy, together with our shift in focus to wholesale distribution, continues to serve us well, particularly in the E&amp;S market.</v>
          </cell>
          <cell r="J61">
            <v>1</v>
          </cell>
        </row>
        <row r="62">
          <cell r="C62" t="str">
            <v>Strategy</v>
          </cell>
          <cell r="G62" t="str">
            <v>As part of our ongoing review process, we regularly assess the composition of our portfolio of businesses to ensure it is aligned with our long-term strategy and best positioned to create value for our shareholders and other stakeholders</v>
          </cell>
          <cell r="J62">
            <v>1</v>
          </cell>
        </row>
        <row r="63">
          <cell r="C63" t="str">
            <v>Strategy</v>
          </cell>
          <cell r="G63" t="str">
            <v>This is another significant milestone for AIG and reflects our commitment to a disciplined, balanced capital management strategy and our confidence in the future earnings power of AIG.</v>
          </cell>
          <cell r="J63">
            <v>1</v>
          </cell>
        </row>
        <row r="64">
          <cell r="C64" t="str">
            <v>Strategy</v>
          </cell>
          <cell r="G64" t="str">
            <v>Evolving our future state business model will result in us moving away from the conglomerate structure AIG operated in for decades.</v>
          </cell>
          <cell r="J64">
            <v>1</v>
          </cell>
        </row>
        <row r="65">
          <cell r="C65" t="str">
            <v>Macro factors</v>
          </cell>
          <cell r="G65" t="str">
            <v>"We reported strong operating results against the challenging backdrop of market volatility, persistent inflation, continued recession concerns and stress in the banking sector."</v>
          </cell>
          <cell r="J65">
            <v>1</v>
          </cell>
        </row>
        <row r="66">
          <cell r="C66" t="str">
            <v>Macro factors</v>
          </cell>
          <cell r="G66" t="str">
            <v>"Our financial strength and stability are as important as ever as the macro backdrop remains uncertain."</v>
          </cell>
          <cell r="J66">
            <v>1</v>
          </cell>
        </row>
        <row r="67">
          <cell r="C67" t="str">
            <v>Macro factors</v>
          </cell>
          <cell r="G67" t="str">
            <v>"With office real estate under some cyclical and secular pressures, there could be further declines in this asset class if conditions in the macro environments deteriorate further."</v>
          </cell>
          <cell r="J67">
            <v>1</v>
          </cell>
        </row>
        <row r="68">
          <cell r="C68" t="str">
            <v>Operational/ cost efficiency</v>
          </cell>
          <cell r="G68" t="str">
            <v>We will eliminate overlap and significantly reduce decentralized infrastructure across the company, which will lead to a leaner business model, particularly in our operations.</v>
          </cell>
          <cell r="J68">
            <v>1</v>
          </cell>
        </row>
        <row r="69">
          <cell r="C69" t="str">
            <v>Operational/ cost efficiency</v>
          </cell>
          <cell r="G69" t="str">
            <v>In terms of expectations for PCG for the full year, we expect net premiums written growth to be at or higher than we saw in the first quarter, the loss ratio to meaningfully improve and the acquisition ratio and general operating expense to also improve.</v>
          </cell>
          <cell r="J69">
            <v>0</v>
          </cell>
        </row>
        <row r="70">
          <cell r="C70" t="str">
            <v>Operational/ cost efficiency</v>
          </cell>
          <cell r="G70" t="str">
            <v>In future state, we expect a redefined AIG parent expense structure to be approximately 1% to 1.5% of premiums, which today is roughly $250 million to $350 million.</v>
          </cell>
          <cell r="J70">
            <v>1</v>
          </cell>
        </row>
        <row r="71">
          <cell r="C71" t="str">
            <v>Operational/ cost efficiency</v>
          </cell>
          <cell r="G71" t="str">
            <v>As we progress our future state business model, we anticipate achieving approximately $500 million in cost reductions at AIG parent and a cost to achieve of around $400 million with substantially quicker earn-in of savings that we achieved with AIG 200.</v>
          </cell>
          <cell r="J71">
            <v>1</v>
          </cell>
        </row>
        <row r="72">
          <cell r="C72" t="str">
            <v>Operational/ cost efficiency</v>
          </cell>
          <cell r="G72" t="str">
            <v>As expense savings begin to earn through, the reductions will largely be seen in other operations, which is where general operating expenses are currently accounted for.</v>
          </cell>
          <cell r="J72">
            <v>1</v>
          </cell>
        </row>
        <row r="73">
          <cell r="C73" t="str">
            <v>Product expansion</v>
          </cell>
          <cell r="G73" t="str">
            <v>Last week, we executed a definitive documentation with Stone Point Capital for the launch of Private Client Services, an MGA that will serve the high and ultra-high net worth market.</v>
          </cell>
          <cell r="J73">
            <v>1</v>
          </cell>
        </row>
        <row r="74">
          <cell r="C74" t="str">
            <v>Product expansion</v>
          </cell>
          <cell r="G74" t="str">
            <v>As part of our ongoing review process, we regularly assess the composition of our portfolio of businesses to ensure it is aligned with our long-term strategy and best positioned to create value for our shareholders and other stakeholders</v>
          </cell>
          <cell r="J74">
            <v>1</v>
          </cell>
        </row>
        <row r="75">
          <cell r="C75" t="str">
            <v>Regulatory or accounting update</v>
          </cell>
          <cell r="G75" t="str">
            <v>First, the 1-month lag in financial reporting for the General Insurance International segment was eliminated last quarter.</v>
          </cell>
          <cell r="J75">
            <v>1</v>
          </cell>
        </row>
        <row r="76">
          <cell r="C76" t="str">
            <v>Regulatory or accounting update</v>
          </cell>
          <cell r="G76" t="str">
            <v>Second, we adopted the change in accounting standard for certain long-duration products, commonly called LDTI. Yesterday, 8- Ks were filed that provide restated prior year financial results for AIG and Corebridge.</v>
          </cell>
          <cell r="J76">
            <v>1</v>
          </cell>
        </row>
        <row r="77">
          <cell r="C77" t="str">
            <v>Regulatory or accounting update</v>
          </cell>
          <cell r="G77" t="str">
            <v>As a reminder, this is a GAAP accounting change only and does not impact statutory results, insurance company cash flows or economic returns. Going forward, we expect a modest run rate increase in L&amp;R APTI and less market and mortality-driven volatility from the change in accounting standards</v>
          </cell>
          <cell r="J77">
            <v>1</v>
          </cell>
        </row>
        <row r="78">
          <cell r="C78" t="str">
            <v>Macro factors</v>
          </cell>
          <cell r="G78" t="str">
            <v>"The insurance experience losses recognized in core earnings reflected the current period impact of the elevated mortality in 2022 due to the Omicron wave of the pandemic as well as the impact of Hurricane Ian on our property and casualty reinsurance business in the third quarter."</v>
          </cell>
          <cell r="J78">
            <v>1</v>
          </cell>
        </row>
        <row r="79">
          <cell r="C79" t="str">
            <v>Macro factors</v>
          </cell>
          <cell r="G79" t="str">
            <v>"Our result reflects the quality of our fixed income portfolio amid a challenging global macroeconomic environment in 2022."</v>
          </cell>
          <cell r="J79">
            <v>1</v>
          </cell>
        </row>
        <row r="80">
          <cell r="C80" t="str">
            <v>Macro factors</v>
          </cell>
          <cell r="G80" t="str">
            <v>"We expect the magnitude of market experience impact to reduce going forward."</v>
          </cell>
          <cell r="J80">
            <v>1</v>
          </cell>
        </row>
        <row r="81">
          <cell r="C81" t="str">
            <v>Macro factors</v>
          </cell>
          <cell r="G81" t="str">
            <v>"We expect the magnitude of market experience impact to reduce going forward."</v>
          </cell>
          <cell r="J81">
            <v>1</v>
          </cell>
        </row>
        <row r="82">
          <cell r="C82" t="str">
            <v>Macro factors</v>
          </cell>
          <cell r="G82" t="str">
            <v>"Under IFRS 17, results can be different than the published sensitivities as exposures vary slightly across currencies and a long interest rate curves"</v>
          </cell>
          <cell r="J82">
            <v>0</v>
          </cell>
        </row>
        <row r="83">
          <cell r="C83" t="str">
            <v>Strategy</v>
          </cell>
          <cell r="G83" t="str">
            <v>"But it's worth recognizing as well that other markets within Asia continue to see, I would say, a bumpy emergence from the pandemic, and Vietnam is an example of that, that it continues to be a tough market, but we expect these to come back during the course of 2023."</v>
          </cell>
          <cell r="J83">
            <v>1</v>
          </cell>
        </row>
        <row r="84">
          <cell r="C84" t="str">
            <v>Strategy</v>
          </cell>
          <cell r="G84" t="str">
            <v>"Throughout 2022, we delivered solid core earnings and stable growth in adjusted book value per share despite a challenging market and operating environment."</v>
          </cell>
          <cell r="J84">
            <v>1</v>
          </cell>
        </row>
        <row r="85">
          <cell r="C85" t="str">
            <v>Strategy</v>
          </cell>
          <cell r="G85" t="str">
            <v>"Our strategic priorities remain unchanged, and we're well positioned to achieve our medium-term financial and operating targets under the new accounting regime."</v>
          </cell>
          <cell r="J85">
            <v>1</v>
          </cell>
        </row>
        <row r="86">
          <cell r="C86" t="str">
            <v>Strategy</v>
          </cell>
          <cell r="G86" t="str">
            <v>"We are leveraging our Health and Wellness platform, ManulifeMOVE to drive incremental sales. We've seen strong adoption of our app with over 50% of in-force eligible customers activating the app, of which over 1/3 have made a subsequent insurance purchase."</v>
          </cell>
          <cell r="J86">
            <v>0</v>
          </cell>
        </row>
        <row r="87">
          <cell r="C87" t="str">
            <v>Strategy</v>
          </cell>
          <cell r="G87" t="str">
            <v>"We are relentlessly focused on taking action to generate value for shareholders across all our businesses."</v>
          </cell>
          <cell r="J87">
            <v>1</v>
          </cell>
        </row>
        <row r="88">
          <cell r="C88" t="str">
            <v>Workforce</v>
          </cell>
          <cell r="G88" t="str">
            <v>This is another significant milestone for AIG and reflects our commitment to a disciplined, balanced capital management strategy and our confidence in the future earnings power of AIG.</v>
          </cell>
          <cell r="J88">
            <v>0</v>
          </cell>
        </row>
        <row r="89">
          <cell r="C89" t="str">
            <v>Business/ top line growth</v>
          </cell>
          <cell r="G89" t="str">
            <v>"Despite that, we delivered 11% growth in our core EPS to $0.79 per common share, reflecting strong core earnings of $1.5 billion and the impact of our share buyback program over the past year, which is supported by our strong capital position."</v>
          </cell>
          <cell r="J89">
            <v>1</v>
          </cell>
        </row>
        <row r="90">
          <cell r="C90" t="str">
            <v>Business/ top line growth</v>
          </cell>
          <cell r="G90" t="str">
            <v>"We delivered solid core earnings of $5.8 billion despite the claims experienced losses in our U.S. Life business due to COVID-19 and charges in our property and casualty reinsurance business due to Hurricane Ian."</v>
          </cell>
          <cell r="J90">
            <v>1</v>
          </cell>
        </row>
        <row r="91">
          <cell r="C91" t="str">
            <v>Business/ top line growth</v>
          </cell>
          <cell r="G91" t="str">
            <v>"Our APE sales were $1.6 billion, supported by sales growth in Asia, which increased 5% from the prior year quarter, and we saw sales momentum building throughout the first quarter."</v>
          </cell>
          <cell r="J91">
            <v>1</v>
          </cell>
        </row>
        <row r="92">
          <cell r="C92" t="str">
            <v>Business/ top line growth</v>
          </cell>
          <cell r="G92" t="str">
            <v>"We delivered new business CSM of $1.9 billion in 2022, reflecting the profitable growth of our insurance businesses globally."</v>
          </cell>
          <cell r="J92">
            <v>1</v>
          </cell>
        </row>
        <row r="93">
          <cell r="C93" t="str">
            <v>Business/ top line growth</v>
          </cell>
          <cell r="G93" t="str">
            <v>"We delivered new business CSM of $1.9 billion in 2022, reflecting the profitable growth of our insurance businesses globally."</v>
          </cell>
          <cell r="J93">
            <v>1</v>
          </cell>
        </row>
        <row r="94">
          <cell r="C94" t="str">
            <v>Business/ top line growth</v>
          </cell>
          <cell r="G94" t="str">
            <v>"Our APE sales were $1.6 billion, supported by sales growth in Asia, which increased 5% from the prior year quarter, and we saw sales momentum building throughout the first quarter."</v>
          </cell>
          <cell r="J94">
            <v>1</v>
          </cell>
        </row>
        <row r="95">
          <cell r="C95" t="str">
            <v>Business/ top line growth</v>
          </cell>
          <cell r="G95" t="str">
            <v>"Core earnings in the U.S. increased by 23%, reflecting improved insurance experience, increased expected investment earnings and lower onerous losses on new insurance business."</v>
          </cell>
          <cell r="J95">
            <v>1</v>
          </cell>
        </row>
        <row r="96">
          <cell r="C96" t="str">
            <v>Business/ top line growth</v>
          </cell>
          <cell r="G96" t="str">
            <v>"The core net investment result increased 14% from the prior year quarter, driven by higher expected investment earnings, which reflects both portfolio growth and higher reinvestment yields. In addition, higher interest rates contributed to higher earnings on surplus assets."</v>
          </cell>
          <cell r="J96">
            <v>1</v>
          </cell>
        </row>
        <row r="97">
          <cell r="C97" t="str">
            <v>M&amp;A</v>
          </cell>
          <cell r="G97" t="str">
            <v>"Our core EBITDA margin decreased to 22.4% in the quarter, reflecting the factors I noted earlier on core earnings as well as the modest impact from the acquisition of full ownership in Manulife Fund Management in Mainland China as its general expenses are now consolidated."</v>
          </cell>
          <cell r="J97">
            <v>1</v>
          </cell>
        </row>
        <row r="98">
          <cell r="C98" t="str">
            <v>M&amp;A</v>
          </cell>
          <cell r="G98" t="str">
            <v>"Under IFRS 17, our core general expenses no longer include acquisition expenses.'</v>
          </cell>
          <cell r="J98">
            <v>0</v>
          </cell>
        </row>
        <row r="99">
          <cell r="C99" t="str">
            <v>Strategy</v>
          </cell>
          <cell r="G99" t="str">
            <v>"You will see some adjustments to our portfolio mix and margins as we continue to execute on our strategy."</v>
          </cell>
          <cell r="J99">
            <v>1</v>
          </cell>
        </row>
        <row r="100">
          <cell r="C100" t="str">
            <v>Strategy</v>
          </cell>
          <cell r="G100" t="str">
            <v>"I'm confident that as we execute on our strategy and prioritize actions that generate shareholder value, we will see this result in strong total shareholder return."</v>
          </cell>
          <cell r="J100">
            <v>1</v>
          </cell>
        </row>
        <row r="101">
          <cell r="C101" t="str">
            <v>Macro factors</v>
          </cell>
          <cell r="G101" t="str">
            <v>"We remain focused on managing risks across economic cycles and controlling the things we can control to deliver for our shareholders and our other stakeholders."</v>
          </cell>
          <cell r="J101">
            <v>1</v>
          </cell>
        </row>
        <row r="102">
          <cell r="C102" t="str">
            <v>Macro factors</v>
          </cell>
          <cell r="G102" t="str">
            <v>"We really are benefiting from the U.S. rate movement. It's really giving us an advantage as we compare to the Japanese rates."</v>
          </cell>
          <cell r="J102">
            <v>0</v>
          </cell>
        </row>
        <row r="103">
          <cell r="C103" t="str">
            <v>Macro factors</v>
          </cell>
          <cell r="G103" t="str">
            <v>"Taking a broader view of investments rising interest rates are a long-term positive for MetLife."</v>
          </cell>
          <cell r="J103">
            <v>1</v>
          </cell>
        </row>
        <row r="104">
          <cell r="C104" t="str">
            <v>Macro factors</v>
          </cell>
          <cell r="G104" t="str">
            <v>"Our investment process has stood the test of time, successfully guiding us through the global financial crisis."</v>
          </cell>
          <cell r="J104">
            <v>1</v>
          </cell>
        </row>
        <row r="105">
          <cell r="C105" t="str">
            <v>Macro factors</v>
          </cell>
          <cell r="G105" t="str">
            <v>"Lower interest rates in the quarter drove an MRB loss. This loss was partially offset by derivative gains relating to lower interest rates."</v>
          </cell>
          <cell r="J105">
            <v>1</v>
          </cell>
        </row>
        <row r="106">
          <cell r="C106" t="str">
            <v>Macro factors</v>
          </cell>
          <cell r="G106" t="str">
            <v>"While market fluctuations are expected to continue, MetLife remains in a position of strength given our balance sheet, investment portfolio, free cash flow generation and the diversification of our market-leading businesses."</v>
          </cell>
          <cell r="J106">
            <v>1</v>
          </cell>
        </row>
        <row r="107">
          <cell r="C107" t="str">
            <v>Operational/ cost efficiency</v>
          </cell>
          <cell r="G107" t="str">
            <v>"As such, our core general expenses are lower under IFRS 17 and our restated 2022 expense efficiency ratio was 45.7%."</v>
          </cell>
          <cell r="J107">
            <v>0</v>
          </cell>
        </row>
        <row r="108">
          <cell r="C108" t="str">
            <v>Operational/ cost efficiency</v>
          </cell>
          <cell r="G108" t="str">
            <v>"As such, our core general expenses are lower under IFRS 17 and our restated 2022 expense efficiency ratio was 45.7%."</v>
          </cell>
          <cell r="J108">
            <v>0</v>
          </cell>
        </row>
        <row r="109">
          <cell r="C109" t="str">
            <v>Operational/ cost efficiency</v>
          </cell>
          <cell r="G109" t="str">
            <v>"Given the change in accounting for acquisition expenses and the resulting decrease in expense efficiency ratio, we would explore potentially recalibrating our expense efficiency ratio target over time."</v>
          </cell>
          <cell r="J109">
            <v>1</v>
          </cell>
        </row>
        <row r="110">
          <cell r="C110" t="str">
            <v>Product expansion</v>
          </cell>
          <cell r="G110" t="str">
            <v>"Institutional Asset Management business recorded net inflows of $2.5 billion compared with net inflows of $0.9 billion in the prior year quarter driven by new product launches in Mainland China, totaling $1.6 billion."</v>
          </cell>
          <cell r="J110">
            <v>1</v>
          </cell>
        </row>
        <row r="111">
          <cell r="C111" t="str">
            <v>Product expansion</v>
          </cell>
          <cell r="G111" t="str">
            <v>"We are leveraging our Health and Wellness platform, ManulifeMOVE to drive incremental sales. We've seen strong adoption of our app with over 50% of in-force eligible customers activating the app, of which over 1/3 have made a subsequent insurance purchase."</v>
          </cell>
          <cell r="J111">
            <v>0</v>
          </cell>
        </row>
        <row r="112">
          <cell r="C112" t="str">
            <v>Regulatory or accounting update</v>
          </cell>
          <cell r="G112" t="str">
            <v xml:space="preserve"> "Welcome to Manulife's earnings conference call to discuss our 2022 comparative results under IFRS 17 and IFRS 9 as well as our first quarter 2023 financial and operating results. As this marks the first quarter of reporting under the new accounting standards, we are extended the call to 2 hours."</v>
          </cell>
          <cell r="J112">
            <v>1</v>
          </cell>
        </row>
        <row r="113">
          <cell r="C113" t="str">
            <v>Regulatory or accounting update</v>
          </cell>
          <cell r="G113" t="str">
            <v>"While IFRS 17 does not impact the fundamental economics of our business or financial strength, the new accounting standards are expected to improve the stability of our financial metrics."</v>
          </cell>
          <cell r="J113">
            <v>1</v>
          </cell>
        </row>
        <row r="114">
          <cell r="C114" t="str">
            <v>Regulatory or accounting update</v>
          </cell>
          <cell r="G114" t="str">
            <v>"While IFRS 17 does not impact the fundamental economics of our business or financial strength, the new accounting standards are expected to improve the stability of our financial metrics."</v>
          </cell>
          <cell r="J114">
            <v>1</v>
          </cell>
        </row>
        <row r="115">
          <cell r="C115" t="str">
            <v>Regulatory or accounting update</v>
          </cell>
          <cell r="G115" t="str">
            <v>"I'm pleased to confirm that our IFRS 17 transition impacts are consistent with the guidance we previously provided."</v>
          </cell>
          <cell r="J115">
            <v>1</v>
          </cell>
        </row>
        <row r="116">
          <cell r="C116" t="str">
            <v>Regulatory or accounting update</v>
          </cell>
          <cell r="G116" t="str">
            <v>"On a restated basis, under IFRS 17, we delivered solid core earnings in 2022 and stable growth in adjusted book value, which incorporates the strength of our CSM.</v>
          </cell>
          <cell r="J116">
            <v>1</v>
          </cell>
        </row>
        <row r="117">
          <cell r="C117" t="str">
            <v>Regulatory or accounting update</v>
          </cell>
          <cell r="G117" t="str">
            <v xml:space="preserve"> "Welcome to Manulife's earnings conference call to discuss our 2022 comparative results under IFRS 17 and IFRS 9 as well as our first quarter 2023 financial and operating results. As this marks the first quarter of reporting under the new accounting standards, we are extended the call to 2 hours."</v>
          </cell>
          <cell r="J117">
            <v>0</v>
          </cell>
        </row>
        <row r="118">
          <cell r="C118" t="str">
            <v>Regulatory or accounting update</v>
          </cell>
          <cell r="G118" t="str">
            <v>"And our capital remains strong with a LICAT ratio of 136% under IFRS 17, an increase of 5 percentage points relative to IFRS 4, reflecting a more stable capital ratio relative to interest rate movements under the new accounting regime."</v>
          </cell>
          <cell r="J118">
            <v>1</v>
          </cell>
        </row>
        <row r="119">
          <cell r="C119" t="str">
            <v>Regulatory or accounting update</v>
          </cell>
          <cell r="G119" t="str">
            <v>"Under IFRS 17, our Asia segment continues to be the largest contributor to total company core earnings despite the deferral of new business gains into CSM."</v>
          </cell>
          <cell r="J119">
            <v>1</v>
          </cell>
        </row>
        <row r="120">
          <cell r="C120" t="str">
            <v>Regulatory or accounting update</v>
          </cell>
          <cell r="G120" t="str">
            <v>"For the 2022 comparative results, we introduced the transitional net income metric that reflects the impact of hedge accounting and ECL principles as if the standards had allowed such principles to be implemented for 2022."</v>
          </cell>
          <cell r="J120">
            <v>1</v>
          </cell>
        </row>
        <row r="121">
          <cell r="C121" t="str">
            <v>Macro factors</v>
          </cell>
          <cell r="G121" t="str">
            <v>"Overall, the portfolio is well positioned and built for resilience through uncertain markets."</v>
          </cell>
          <cell r="J121">
            <v>1</v>
          </cell>
        </row>
        <row r="122">
          <cell r="C122" t="str">
            <v>Macro factors</v>
          </cell>
          <cell r="G122" t="str">
            <v>"Overall, the portfolio is well positioned and built for resilience through uncertain markets."</v>
          </cell>
          <cell r="J122">
            <v>0</v>
          </cell>
        </row>
        <row r="123">
          <cell r="C123" t="str">
            <v>Strategy</v>
          </cell>
          <cell r="G123" t="str">
            <v>"We remain focused on managing risks across economic cycles and controlling the things we can control to deliver for our shareholders and our other stakeholders."</v>
          </cell>
          <cell r="J123">
            <v>1</v>
          </cell>
        </row>
        <row r="124">
          <cell r="C124" t="str">
            <v>Strategy</v>
          </cell>
          <cell r="G124" t="str">
            <v>"And we'll continue to sort of explore M&amp;A opportunities provided those fit strategically or accretive over time, meet our minimum risk-adjusted hurdle rates and the like and we'll remain also disciplined on that front as we always have been."</v>
          </cell>
          <cell r="J124">
            <v>1</v>
          </cell>
        </row>
        <row r="125">
          <cell r="C125" t="str">
            <v>Strategy</v>
          </cell>
          <cell r="G125" t="str">
            <v>"We are strategically well positioned to grow in this attractive business given our scale, distribution reach, broad product portfolio, enrollment capabilities and importantly our thought leadership"</v>
          </cell>
          <cell r="J125">
            <v>1</v>
          </cell>
        </row>
        <row r="126">
          <cell r="C126" t="str">
            <v>Strategy</v>
          </cell>
          <cell r="G126" t="str">
            <v>"Our differentiation in this space led to strong growth in sales and premium fees and other revenues in all market segments and across voluntary products."</v>
          </cell>
          <cell r="J126">
            <v>1</v>
          </cell>
        </row>
        <row r="127">
          <cell r="C127" t="str">
            <v>Strategy</v>
          </cell>
          <cell r="G127" t="str">
            <v>"And there the focus is really on bancassurance and third-party distribution."</v>
          </cell>
          <cell r="J127">
            <v>1</v>
          </cell>
        </row>
        <row r="128">
          <cell r="C128" t="str">
            <v>Tech transformation</v>
          </cell>
          <cell r="G128" t="str">
            <v>"We are leveraging our Health and Wellness platform, ManulifeMOVE to drive incremental sales. We've seen strong adoption of our app with over 50% of in-force eligible customers activating the app, of which over 1/3 have made a subsequent insurance purchase."</v>
          </cell>
          <cell r="J128">
            <v>1</v>
          </cell>
        </row>
        <row r="129">
          <cell r="C129" t="str">
            <v>Business/ top line growth</v>
          </cell>
          <cell r="G129" t="str">
            <v>"Last night, we reported quarterly adjusted earnings of $1.2 billion or $1.52 per share, which compares to $1.7 billion or $2.04 per share a year ago."</v>
          </cell>
          <cell r="J129">
            <v>1</v>
          </cell>
        </row>
        <row r="130">
          <cell r="C130" t="str">
            <v>Business/ top line growth</v>
          </cell>
          <cell r="G130" t="str">
            <v>"And sales were up 18% year-over-year on a constant currency basis, primarily driven by strong growth across the region."</v>
          </cell>
          <cell r="J130">
            <v>1</v>
          </cell>
        </row>
        <row r="131">
          <cell r="C131" t="str">
            <v>Business/ top line growth</v>
          </cell>
          <cell r="G131" t="str">
            <v>"We posted strong sales numbers, representing responsible growth for most of our key businesses and markets, including Group Benefits, Asia and Latin America."</v>
          </cell>
          <cell r="J131">
            <v>1</v>
          </cell>
        </row>
        <row r="132">
          <cell r="C132" t="str">
            <v>Business/ top line growth</v>
          </cell>
          <cell r="G132" t="str">
            <v>"In total, net income for the quarter was $14 million, driven by losses on opportunistic investment sales in Japan which offset the tax impact on the gain generated by our recent Japanese A&amp;H Reinsurance transaction."</v>
          </cell>
          <cell r="J132">
            <v>1</v>
          </cell>
        </row>
        <row r="133">
          <cell r="C133" t="str">
            <v>Business/ top line growth</v>
          </cell>
          <cell r="G133" t="str">
            <v>"Moving to the businesses, starting with the U.S. Group Benefits adjusted earnings were $307 million versus $117 million in the prior year period, primarily due to lower COVID-19 claims."</v>
          </cell>
          <cell r="J133">
            <v>0</v>
          </cell>
        </row>
        <row r="134">
          <cell r="C134" t="str">
            <v>Business/ top line growth</v>
          </cell>
          <cell r="G134" t="str">
            <v>"In total, sales were up 15%, while adjusted PFOs grew 5.4% toward the top end of our outlook expectation after adjusting for participating policies."</v>
          </cell>
          <cell r="J134">
            <v>1</v>
          </cell>
        </row>
        <row r="135">
          <cell r="C135" t="str">
            <v>Business/ top line growth</v>
          </cell>
          <cell r="G135" t="str">
            <v>"For certain products such as variable annuities with market-related guarantees, the change in fair value excluding changes attributable to nonperformance risk is recognized in net income each quarter. Similar to certain variable annuity guarantees previously classified outside of adjusted earnings, we'll also now identify MRB gains and losses as a reconciling item between net income and adjusted earnings."</v>
          </cell>
          <cell r="J135">
            <v>1</v>
          </cell>
        </row>
        <row r="136">
          <cell r="C136" t="str">
            <v>Business/ top line growth</v>
          </cell>
          <cell r="G136" t="str">
            <v>"And sales were up 18% year-over-year on a constant currency basis, primarily driven by strong growth across the region."</v>
          </cell>
          <cell r="J136">
            <v>1</v>
          </cell>
        </row>
        <row r="137">
          <cell r="C137" t="str">
            <v>Business/ top line growth</v>
          </cell>
          <cell r="G137" t="str">
            <v>"Last night, we reported quarterly adjusted earnings of $1.2 billion or $1.52 per share, which compares to $1.7 billion or $2.04 per share a year ago."</v>
          </cell>
          <cell r="J137">
            <v>1</v>
          </cell>
        </row>
        <row r="138">
          <cell r="C138" t="str">
            <v>Business/ top line growth</v>
          </cell>
          <cell r="G138" t="str">
            <v>"Latin America's top line continues to perform well, as adjusted PFOs were up 26% year-over-year on a constant currency basis. And sales were up 36% on a constant currency basis, driven by growth across the region."</v>
          </cell>
          <cell r="J138">
            <v>1</v>
          </cell>
        </row>
        <row r="139">
          <cell r="C139" t="str">
            <v>M&amp;A</v>
          </cell>
          <cell r="G139" t="str">
            <v>"In the quarter, we announced and closed on the acquisition of Raven Capital Management, an alternative investment manager specializing in direct asset-based investments"</v>
          </cell>
          <cell r="J139">
            <v>1</v>
          </cell>
        </row>
        <row r="140">
          <cell r="C140" t="str">
            <v>M&amp;A</v>
          </cell>
          <cell r="G140" t="str">
            <v>"Taken together, these actions demonstrate our commitment to being a sound capital steward for our shareholders. In the absence of responsible organic growth or compelling M&amp;A opportunities, we will return capital over time to our shareholders."</v>
          </cell>
          <cell r="J140">
            <v>1</v>
          </cell>
        </row>
        <row r="141">
          <cell r="C141" t="str">
            <v>M&amp;A</v>
          </cell>
          <cell r="G141" t="str">
            <v>"We are active from an -- we were active from an M&amp;A perspective. We announced the acquisition of Raven Capital Management which adds an attractive adjacency to our main business which we think we can scale over time."</v>
          </cell>
          <cell r="J141">
            <v>1</v>
          </cell>
        </row>
        <row r="142">
          <cell r="C142" t="str">
            <v>M&amp;A</v>
          </cell>
          <cell r="G142" t="str">
            <v>"And we'll continue to sort of explore M&amp;A opportunities provided those fit strategically or accretive over time, meet our minimum risk-adjusted hurdle rates and the like and we'll remain also disciplined on that front as we always have been."</v>
          </cell>
          <cell r="J142">
            <v>1</v>
          </cell>
        </row>
        <row r="143">
          <cell r="C143" t="str">
            <v>Strategy</v>
          </cell>
          <cell r="G143" t="str">
            <v>"Aided by MetLife's strategic M&amp;A capabilities, we were able to add an important investment product adjacency that we expect MetLife Investment Management to scale over time."</v>
          </cell>
          <cell r="J143">
            <v>0</v>
          </cell>
        </row>
        <row r="144">
          <cell r="C144" t="str">
            <v>Strategy</v>
          </cell>
          <cell r="G144" t="str">
            <v>"Our strategy around the region is really centered around 3 pillars. One is protecting the core, the other one is growth through diversification. And all that underpins through a transformation to meet our customers' and our partners' evolving need. So I can give you a couple of examples that -- of the execution of this strategy around the region."</v>
          </cell>
          <cell r="J144">
            <v>1</v>
          </cell>
        </row>
        <row r="145">
          <cell r="C145" t="str">
            <v>Strategy</v>
          </cell>
          <cell r="G145" t="str">
            <v>"And there the focus is really on bancassurance and third-party distribution."</v>
          </cell>
          <cell r="J145">
            <v>1</v>
          </cell>
        </row>
        <row r="146">
          <cell r="C146" t="str">
            <v>Macro factors</v>
          </cell>
          <cell r="G146" t="str">
            <v>These results reflect underlying business growth, including the benefits from a higher interest rate environment, offset by lower variable investment and fee income as well as elevated seasonal mortality experience</v>
          </cell>
          <cell r="J146">
            <v>1</v>
          </cell>
        </row>
        <row r="147">
          <cell r="C147" t="str">
            <v>Macro factors</v>
          </cell>
          <cell r="G147" t="str">
            <v>Our financial strength, including our AA rating is supported by $4.6 billion in highly liquid assets at the end of the first quarter as well as a high-quality, well-diversified investment portfolio and a disciplined approach to asset liability management.</v>
          </cell>
          <cell r="J147">
            <v>1</v>
          </cell>
        </row>
        <row r="148">
          <cell r="C148" t="str">
            <v>Macro factors</v>
          </cell>
          <cell r="G148" t="str">
            <v>We are confident that this approach, coupled with our robust financial position, mix of mutually enhancing businesses and growth strategy, positions us well to be a leader in expanding access to investing, insurance and retirement security for people around the world.</v>
          </cell>
          <cell r="J148">
            <v>1</v>
          </cell>
        </row>
        <row r="149">
          <cell r="C149" t="str">
            <v>Macro factors</v>
          </cell>
          <cell r="G149" t="str">
            <v>In Q1, we experienced third-party net outflows of $14 billion kind of driven both by Retail and Institutional.</v>
          </cell>
          <cell r="J149">
            <v>0</v>
          </cell>
        </row>
        <row r="150">
          <cell r="C150" t="str">
            <v>Macro factors</v>
          </cell>
          <cell r="G150" t="str">
            <v>As far as the higher rates, and obviously, when we say that, higher Yen rates, higher U.S. interest rates, I would -- as I would always say, higher interest rates are good for Prudential, are good for our businesses, and they're good for our Japanese business.</v>
          </cell>
          <cell r="J150">
            <v>1</v>
          </cell>
        </row>
        <row r="151">
          <cell r="C151" t="str">
            <v>Operational/ cost efficiency</v>
          </cell>
          <cell r="G151" t="str">
            <v>"We continued to manage our costs with vigilance and to beat our expense targets"</v>
          </cell>
          <cell r="J151">
            <v>1</v>
          </cell>
        </row>
        <row r="152">
          <cell r="C152" t="str">
            <v>Operational/ cost efficiency</v>
          </cell>
          <cell r="G152" t="str">
            <v>"We continued to manage our costs with vigilance and to beat our expense targets"</v>
          </cell>
          <cell r="J152">
            <v>0</v>
          </cell>
        </row>
        <row r="153">
          <cell r="C153" t="str">
            <v>Operational/ cost efficiency</v>
          </cell>
          <cell r="G153" t="str">
            <v>"Our Q1 direct expense ratio benefited from solid top line growth and ongoing expense discipline."</v>
          </cell>
          <cell r="J153">
            <v>1</v>
          </cell>
        </row>
        <row r="154">
          <cell r="C154" t="str">
            <v>Operational/ cost efficiency</v>
          </cell>
          <cell r="G154" t="str">
            <v>"We remain committed to achieving a full year direct expense ratio of 12.6% or below in 2023, demonstrating our consistent execution and focus on an efficiency mindset."</v>
          </cell>
          <cell r="J154">
            <v>1</v>
          </cell>
        </row>
        <row r="155">
          <cell r="C155" t="str">
            <v>Operational/ cost efficiency</v>
          </cell>
          <cell r="G155" t="str">
            <v>"We continued to manage our costs with vigilance and to beat our expense targets"</v>
          </cell>
          <cell r="J155">
            <v>0</v>
          </cell>
        </row>
        <row r="156">
          <cell r="C156" t="str">
            <v>Product expansion</v>
          </cell>
          <cell r="G156" t="str">
            <v>"Aided by MetLife's strategic M&amp;A capabilities, we were able to add an important investment product adjacency that we expect MetLife Investment Management to scale over time."</v>
          </cell>
          <cell r="J156">
            <v>1</v>
          </cell>
        </row>
        <row r="157">
          <cell r="C157" t="str">
            <v>Regulatory or accounting update</v>
          </cell>
          <cell r="G157" t="str">
            <v>"Please note that prior comparative periods have been recast to conform with LDTI."</v>
          </cell>
          <cell r="J157">
            <v>1</v>
          </cell>
        </row>
        <row r="158">
          <cell r="C158" t="str">
            <v>Regulatory or accounting update</v>
          </cell>
          <cell r="G158" t="str">
            <v>"The appendix also includes slides which provide our full year 2021 and 2022 adjusted earnings recasted for the new LDTI accounting basis."</v>
          </cell>
          <cell r="J158">
            <v>1</v>
          </cell>
        </row>
        <row r="159">
          <cell r="C159" t="str">
            <v>Regulatory or accounting update</v>
          </cell>
          <cell r="G159" t="str">
            <v>"We have itemized a new reconciling item between net income and adjusted earnings as a result of LDTI, called market risk benefit or MRB gains and losses."</v>
          </cell>
          <cell r="J159">
            <v>1</v>
          </cell>
        </row>
        <row r="160">
          <cell r="C160" t="str">
            <v>Regulatory or accounting update</v>
          </cell>
          <cell r="G160" t="str">
            <v>"For certain products such as variable annuities with market-related guarantees, the change in fair value excluding changes attributable to nonperformance risk is recognized in net income each quarter. Similar to certain variable annuity guarantees previously classified outside of adjusted earnings, we'll also now identify MRB gains and losses as a reconciling item between net income and adjusted earnings."</v>
          </cell>
          <cell r="J160">
            <v>1</v>
          </cell>
        </row>
        <row r="161">
          <cell r="C161" t="str">
            <v>Regulatory or accounting update</v>
          </cell>
          <cell r="G161" t="str">
            <v>"For certain products such as variable annuities with market-related guarantees, the change in fair value excluding changes attributable to nonperformance risk is recognized in net income each quarter. Similar to certain variable annuity guarantees previously classified outside of adjusted earnings, we'll also now identify MRB gains and losses as a reconciling item between net income and adjusted earnings."</v>
          </cell>
          <cell r="J161">
            <v>1</v>
          </cell>
        </row>
        <row r="162">
          <cell r="C162" t="str">
            <v>Strategy</v>
          </cell>
          <cell r="G162" t="str">
            <v>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v>
          </cell>
          <cell r="J162">
            <v>1</v>
          </cell>
        </row>
        <row r="163">
          <cell r="C163" t="str">
            <v>Strategy</v>
          </cell>
          <cell r="G163" t="str">
            <v>We're seeing tight labor markets with low current unemployment and a large number of job openings.</v>
          </cell>
          <cell r="J163">
            <v>0</v>
          </cell>
        </row>
        <row r="164">
          <cell r="C164" t="str">
            <v>Strategy</v>
          </cell>
          <cell r="G164" t="str">
            <v>We continue to shift towards higher growth and less market-sensitive products and markets, enhance our customer and adviser experiences and further expand our addressable market.</v>
          </cell>
          <cell r="J164">
            <v>0</v>
          </cell>
        </row>
        <row r="165">
          <cell r="C165" t="str">
            <v>Strategy</v>
          </cell>
          <cell r="G165" t="str">
            <v>PGIM, our global active investment manager, has diversified capabilities in both public and private asset classes across fixed income, equities and alternatives. PGIM's investment performance remains attractive with 80% or more of assets under management outperforming their benchmarks over the last 3-, 5- and 10-year periods.</v>
          </cell>
          <cell r="J165">
            <v>0</v>
          </cell>
        </row>
        <row r="166">
          <cell r="C166" t="str">
            <v>Strategy</v>
          </cell>
          <cell r="G166" t="str">
            <v>We did programmatic M&amp;A with the Deerpath Capital, we returned capital to shareholders, both in the form of dividends and share repurchases and we made an announcement to repay hybrid, which lowers our -- the hybrid, which lowers our leverage.</v>
          </cell>
          <cell r="J166">
            <v>1</v>
          </cell>
        </row>
        <row r="167">
          <cell r="C167" t="str">
            <v>Strategy</v>
          </cell>
          <cell r="G167" t="str">
            <v>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v>
          </cell>
          <cell r="J167">
            <v>1</v>
          </cell>
        </row>
        <row r="168">
          <cell r="C168" t="str">
            <v>Strategy</v>
          </cell>
          <cell r="G168" t="str">
            <v>We continue to shift towards higher growth and less market-sensitive products and markets, enhance our customer and adviser experiences and further expand our addressable market.</v>
          </cell>
          <cell r="J168">
            <v>1</v>
          </cell>
        </row>
        <row r="169">
          <cell r="C169" t="str">
            <v>Strategy</v>
          </cell>
          <cell r="G169" t="str">
            <v>In emerging markets, we are focused on creating a carefully selected portfolio of businesses in regions where customer needs are growing, where there are compelling opportunities to build market-leading businesses and where the Prudential enterprise can add value.</v>
          </cell>
          <cell r="J169">
            <v>1</v>
          </cell>
        </row>
        <row r="170">
          <cell r="C170" t="str">
            <v>Tech transformation</v>
          </cell>
          <cell r="G170" t="str">
            <v>"As we have noted before, Group Life's mortality ratio tends to be seasonally highest in the first quarter. The drivers were excess mortality due to claims resulting from the year-end flu spike and higher severity"</v>
          </cell>
          <cell r="J170">
            <v>1</v>
          </cell>
        </row>
        <row r="171">
          <cell r="C171" t="str">
            <v>Tech transformation</v>
          </cell>
          <cell r="G171" t="str">
            <v>"we have emerged from times of uncertainty in a stronger position; and I expect now to be no different"</v>
          </cell>
          <cell r="J171">
            <v>1</v>
          </cell>
        </row>
        <row r="172">
          <cell r="C172" t="str">
            <v>Workforce</v>
          </cell>
          <cell r="G172" t="str">
            <v>"So in our case, that's come from investments in our human capital. We've built a world-class team of clinicians who diligently work on returning people to health."</v>
          </cell>
          <cell r="J172">
            <v>1</v>
          </cell>
        </row>
        <row r="173">
          <cell r="C173" t="str">
            <v>Workforce</v>
          </cell>
          <cell r="G173" t="str">
            <v>"So in our case, that's come from investments in our human capital. We've built a world-class team of clinicians who diligently work on returning people to health."</v>
          </cell>
          <cell r="J173">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cro_Commentary_Classification"/>
      <sheetName val="Macro_classes_pivot"/>
      <sheetName val="Strategy_Commentary_Classificat"/>
      <sheetName val="Strategy_classes_pivot"/>
      <sheetName val="Theme x Firm"/>
      <sheetName val="FS Consolidated Comments"/>
      <sheetName val="Consolidated Testing(7-10)"/>
    </sheetNames>
    <sheetDataSet>
      <sheetData sheetId="0">
        <row r="2">
          <cell r="C2" t="str">
            <v>Hard to Capture</v>
          </cell>
        </row>
        <row r="3">
          <cell r="C3" t="str">
            <v>Hard to Capture</v>
          </cell>
        </row>
        <row r="4">
          <cell r="C4" t="str">
            <v>Relevant</v>
          </cell>
        </row>
        <row r="5">
          <cell r="C5" t="str">
            <v>Not Relevant</v>
          </cell>
        </row>
        <row r="6">
          <cell r="C6" t="str">
            <v>Relevant</v>
          </cell>
        </row>
        <row r="7">
          <cell r="C7" t="str">
            <v>Relevant</v>
          </cell>
        </row>
        <row r="8">
          <cell r="C8" t="str">
            <v>Not Relevant</v>
          </cell>
        </row>
        <row r="9">
          <cell r="C9" t="str">
            <v>Relevant</v>
          </cell>
        </row>
        <row r="10">
          <cell r="C10" t="str">
            <v>Not Relevant</v>
          </cell>
        </row>
        <row r="11">
          <cell r="C11" t="str">
            <v>Relevant</v>
          </cell>
        </row>
        <row r="12">
          <cell r="C12" t="str">
            <v>Not Relevant</v>
          </cell>
        </row>
        <row r="13">
          <cell r="C13" t="str">
            <v>Hard to Capture</v>
          </cell>
        </row>
        <row r="14">
          <cell r="C14" t="str">
            <v>Relevant</v>
          </cell>
        </row>
        <row r="15">
          <cell r="C15" t="str">
            <v>Relevant</v>
          </cell>
        </row>
        <row r="16">
          <cell r="C16" t="str">
            <v>Relevant</v>
          </cell>
        </row>
        <row r="17">
          <cell r="C17" t="str">
            <v>Relevant</v>
          </cell>
        </row>
        <row r="18">
          <cell r="C18" t="str">
            <v>Not Relevant</v>
          </cell>
        </row>
        <row r="19">
          <cell r="C19" t="str">
            <v>Hard to Capture</v>
          </cell>
        </row>
        <row r="20">
          <cell r="C20" t="str">
            <v>Hard to Capture</v>
          </cell>
        </row>
        <row r="21">
          <cell r="C21" t="str">
            <v>Relevant</v>
          </cell>
        </row>
        <row r="22">
          <cell r="C22" t="str">
            <v>Hard to Capture</v>
          </cell>
        </row>
        <row r="23">
          <cell r="C23" t="str">
            <v>Relevant</v>
          </cell>
        </row>
        <row r="24">
          <cell r="C24" t="str">
            <v>Relevant</v>
          </cell>
        </row>
        <row r="25">
          <cell r="C25" t="str">
            <v>Relevant</v>
          </cell>
        </row>
        <row r="26">
          <cell r="C26" t="str">
            <v>Not Relevant</v>
          </cell>
        </row>
        <row r="27">
          <cell r="C27" t="str">
            <v>Relevant</v>
          </cell>
        </row>
        <row r="28">
          <cell r="C28" t="str">
            <v>Not Relevant</v>
          </cell>
        </row>
        <row r="29">
          <cell r="C29" t="str">
            <v>Not Relevant</v>
          </cell>
        </row>
        <row r="30">
          <cell r="C30" t="str">
            <v>Hard to Capture</v>
          </cell>
        </row>
        <row r="31">
          <cell r="C31" t="str">
            <v>Not Relevant</v>
          </cell>
        </row>
        <row r="32">
          <cell r="C32" t="str">
            <v>Not Relevant</v>
          </cell>
        </row>
        <row r="33">
          <cell r="C33" t="str">
            <v>Relevant</v>
          </cell>
        </row>
        <row r="34">
          <cell r="C34" t="str">
            <v>Not Relevant</v>
          </cell>
        </row>
        <row r="35">
          <cell r="C35" t="str">
            <v>Not Relevant</v>
          </cell>
        </row>
        <row r="36">
          <cell r="C36" t="str">
            <v>Not Relevant</v>
          </cell>
        </row>
        <row r="37">
          <cell r="C37" t="str">
            <v>Hard to Capture</v>
          </cell>
        </row>
        <row r="38">
          <cell r="C38" t="str">
            <v>Hard to Capture</v>
          </cell>
        </row>
        <row r="39">
          <cell r="C39" t="str">
            <v>Not Relevant</v>
          </cell>
        </row>
        <row r="40">
          <cell r="C40" t="str">
            <v>Hard to Capture</v>
          </cell>
        </row>
        <row r="41">
          <cell r="C41" t="str">
            <v>Relevant</v>
          </cell>
        </row>
        <row r="42">
          <cell r="C42" t="str">
            <v>Hard to Capture</v>
          </cell>
        </row>
        <row r="43">
          <cell r="C43" t="str">
            <v>Relevant</v>
          </cell>
        </row>
        <row r="44">
          <cell r="C44" t="str">
            <v>Relevant</v>
          </cell>
        </row>
        <row r="45">
          <cell r="C45" t="str">
            <v>Not Relevant</v>
          </cell>
        </row>
        <row r="46">
          <cell r="C46" t="str">
            <v>Not Relevant</v>
          </cell>
        </row>
      </sheetData>
      <sheetData sheetId="1"/>
      <sheetData sheetId="2"/>
      <sheetData sheetId="3"/>
      <sheetData sheetId="4"/>
      <sheetData sheetId="5"/>
      <sheetData sheetId="6"/>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1">
  <rv s="0">
    <v>0</v>
    <v>1. We continue to make meaningful progress across AIG and achieve important milestones, even in the face of ongoing complexity in the insurance industry, volatile market conditions and general economic uncertainty.</v>
    <v>TetrisApp</v>
    <v>1</v>
    <v>2</v>
    <v>1. We continue to make meaningful progress across AIG and achieve important milestones, even in the face of ongoing complexity in the insurance industry, volatile market conditions and general economic uncertainty.</v>
    <v/>
    <v>0</v>
    <v>0</v>
  </rv>
  <rv s="0">
    <v>0</v>
    <v>2. During the first quarter, we were prepared to launch a secondary offering of Corebridge common stock, but chose not to proceed when equity markets became volatile due to issues in the financial sector.</v>
    <v>TetrisApp</v>
    <v>1</v>
    <v>2</v>
    <v>2. During the first quarter, we were prepared to launch a secondary offering of Corebridge common stock, but chose not to proceed when equity markets became volatile due to issues in the financial sector.</v>
    <v/>
    <v>0</v>
    <v>0</v>
  </rv>
  <rv s="0">
    <v>0</v>
    <v>3. Shifting back to our $15 \%$ net premiums written growth in the first quarter, this result was impressive despite the headwinds we continue to see in Financial Lines, where overall net premiums written contracted 9\% due to increased competition putting pressure on pricing as well as continued slowdown in M\&amp;A and other transactional business.</v>
    <v>TetrisApp</v>
    <v>1</v>
    <v>2</v>
    <v>3. Shifting back to our $15 \%$ net premiums written growth in the first quarter, this result was impressive despite the headwinds we continue to see in Financial Lines, where overall net premiums written contracted 9\% due to increased competition putting pressure on pricing as well as continued slowdown in M\&amp;A and other transactional business.</v>
    <v>where overall net premiums written contracted 9% due to increased competition putting pressure on pricing as well as continued slowdown in M&amp;A and other transactional business.</v>
    <v>38</v>
    <v>0.21</v>
  </rv>
  <rv s="0">
    <v>0</v>
    <v>4. Turning to capital management. The first quarter marked another quarter of continued progress and execution of our balanced strategy. In addition to the first quarter share repurchases and dividends that I mentioned earlier, against the backdrop of an unstable macroeconomic environment, we thought it was prudent to raise $\$ 750$ million of debt at the end of March.</v>
    <v>TetrisApp</v>
    <v>1</v>
    <v>2</v>
    <v>4. Turning to capital management. The first quarter marked another quarter of continued progress and execution of our balanced strategy. In addition to the first quarter share repurchases and dividends that I mentioned earlier, against the backdrop of an unstable macroeconomic environment, we thought it was prudent to raise $\$ 750$ million of debt at the end of March.</v>
    <v>In addition to the first quarter share repurchases and dividends that I mentioned earlier, against the backdrop of an unstable macroeconomic environment, we thought it was prudent to raise $750 million of debt at the end of March.</v>
    <v>8</v>
    <v>0.22</v>
  </rv>
  <rv s="0">
    <v>0</v>
    <v>5. As Peter noted, L\&amp;R premiums and deposits were very strong at $\$ 10.4$ billion. Notably, Individual Retirement sales were $\$ 4.9$ billion, a $26 \%$ increase over the prior year quarter with record levels of fixed and fixed index annuity sales because of higher crediting rates.</v>
    <v>TetrisApp</v>
    <v>1</v>
    <v>2</v>
    <v>5. As Peter noted, L\&amp;R premiums and deposits were very strong at $\$ 10.4$ billion. Notably, Individual Retirement sales were $\$ 4.9$ billion, a $26 \%$ increase over the prior year quarter with record levels of fixed and fixed index annuity sales because of higher crediting rates.</v>
    <v/>
    <v>0</v>
    <v>0</v>
  </rv>
  <rv s="0">
    <v>0</v>
    <v>6. Income on fixed maturities and loans rose by $\$ 573$ million over the prior year, with average new money reinvestment rates of $5.35 \%$, about 220 basis points above sales and maturities.</v>
    <v>TetrisApp</v>
    <v>1</v>
    <v>2</v>
    <v>6. Income on fixed maturities and loans rose by $\$ 573$ million over the prior year, with average new money reinvestment rates of $5.35 \%$, about 220 basis points above sales and maturities.</v>
    <v/>
    <v>0</v>
    <v>0</v>
  </rv>
  <rv s="0">
    <v>0</v>
    <v>7. Book value per common share was $\$ 58.87$ at quarter end, up $7 \%$ from year-end, principally due to higher valuations on available-for-sale securities due to lower long-term interest rates.</v>
    <v>TetrisApp</v>
    <v>1</v>
    <v>2</v>
    <v>7. Book value per common share was $\$ 58.87$ at quarter end, up $7 \%$ from year-end, principally due to higher valuations on available-for-sale securities due to lower long-term interest rates.</v>
    <v>So higher interest rates have slowed the amortization on certain VFA contracts.</v>
    <v>33</v>
    <v>0.13</v>
  </rv>
  <rv s="0">
    <v>0</v>
    <v>8. Our leverage ratio declined to $32.8 \%$, down about 1 point from year-end even with the new issuance due to the change in AOCI in the quarter.</v>
    <v>TetrisApp</v>
    <v>1</v>
    <v>2</v>
    <v>8. Our leverage ratio declined to $32.8 \%$, down about 1 point from year-end even with the new issuance due to the change in AOCI in the quarter.</v>
    <v/>
    <v>0</v>
    <v>0</v>
  </rv>
  <rv s="0">
    <v>0</v>
    <v>9. With respect to Corebridge, I took you through our current thinking on separation and timing of the secondary offerings.</v>
    <v>TetrisApp</v>
    <v>1</v>
    <v>2</v>
    <v>9. With respect to Corebridge, I took you through our current thinking on separation and timing of the secondary offerings.</v>
    <v/>
    <v>0</v>
    <v>0</v>
  </rv>
  <rv s="0">
    <v>0</v>
    <v>10. We remain on track to reduce AIG common stock outstanding to be between 600 million and 650 million shares and achieve a debt-to-capital leverage at the lower end of our $20 \%$ to $25 \%$ range post deconsolidation of Corebridge.</v>
    <v>TetrisApp</v>
    <v>1</v>
    <v>2</v>
    <v>10. We remain on track to reduce AIG common stock outstanding to be between 600 million and 650 million shares and achieve a debt-to-capital leverage at the lower end of our $20 \%$ to $25 \%$ range post deconsolidation of Corebridge.</v>
    <v/>
    <v>0</v>
    <v>0</v>
  </rv>
  <rv s="0">
    <v>0</v>
    <v>11. We are confident that our continued progress on strategic initiatives and our capital management strategy will allow us to achieve our ROCE targets and deliver long-term profitable growth that benefits all of our stakeholders.</v>
    <v>TetrisApp</v>
    <v>1</v>
    <v>2</v>
    <v>11. We are confident that our continued progress on strategic initiatives and our capital management strategy will allow us to achieve our ROCE targets and deliver long-term profitable growth that benefits all of our stakeholders.</v>
    <v/>
    <v>0</v>
    <v>0</v>
  </rv>
  <rv s="0">
    <v>0</v>
    <v>12. We sold and reinvested about $\$ 6$ billion in fixed maturities, resulting in a realized loss of $\$ 224$ million, but added 9 basis points of GI yield improvement for the quarter.</v>
    <v>TetrisApp</v>
    <v>1</v>
    <v>2</v>
    <v>12. We sold and reinvested about $\$ 6$ billion in fixed maturities, resulting in a realized loss of $\$ 224$ million, but added 9 basis points of GI yield improvement for the quarter.</v>
    <v/>
    <v>0</v>
    <v>0</v>
  </rv>
  <rv s="0">
    <v>0</v>
    <v>13. Turning to our Commercial Mortgage Loan exposures. I'll start by noting that our mortgages are senior secured loans on high-quality properties that are well diversified by type and geography with strong loan to values, or LTVs, averaging $59 \%$ and debt service coverage ratios averaging 1.9 x.</v>
    <v>TetrisApp</v>
    <v>1</v>
    <v>2</v>
    <v>13. Turning to our Commercial Mortgage Loan exposures. I'll start by noting that our mortgages are senior secured loans on high-quality properties that are well diversified by type and geography with strong loan to values, or LTVs, averaging $59 \%$ and debt service coverage ratios averaging 1.9 x.</v>
    <v/>
    <v>0</v>
    <v>0</v>
  </rv>
  <rv s="0">
    <v>0</v>
    <v>14. Our U.S. office allocation has been shrinking for several years, particularly when we tightened underwriting standards further for office, retail and hotels with the onset of COVID.</v>
    <v>TetrisApp</v>
    <v>1</v>
    <v>2</v>
    <v>14. Our U.S. office allocation has been shrinking for several years, particularly when we tightened underwriting standards further for office, retail and hotels with the onset of COVID.</v>
    <v/>
    <v>0</v>
    <v>0</v>
  </rv>
  <rv s="0">
    <v>0</v>
    <v>15. We also have a credit or CECL allowance against the portfolio of about $\$ 330$ million or $3.7 \%$ against the office loan portfolio and $\$ 584$ million for the total commercial mortgage portfolio or $1.7 \%$.</v>
    <v>TetrisApp</v>
    <v>1</v>
    <v>2</v>
    <v>15. We also have a credit or CECL allowance against the portfolio of about $\$ 330$ million or $3.7 \%$ against the office loan portfolio and $\$ 584$ million for the total commercial mortgage portfolio or $1.7 \%$.</v>
    <v>"Overall, the portfolio is well positioned and built for resilience through uncertain markets."</v>
    <v>18</v>
    <v>0.13</v>
  </rv>
  <rv s="0">
    <v>0</v>
    <v>16. Today, we are intensely focused on office loan maturities in the next 2 years, about $\$ 2$ billion or 28 loans.</v>
    <v>TetrisApp</v>
    <v>1</v>
    <v>2</v>
    <v>16. Today, we are intensely focused on office loan maturities in the next 2 years, about $\$ 2$ billion or 28 loans.</v>
    <v/>
    <v>0</v>
    <v>0</v>
  </rv>
  <rv s="0">
    <v>0</v>
    <v>17. While valuations are under pressure, cash flows are the primary source of debt service for our loans, and we will continue to monitor the loans carefully.</v>
    <v>TetrisApp</v>
    <v>1</v>
    <v>2</v>
    <v>17. While valuations are under pressure, cash flows are the primary source of debt service for our loans, and we will continue to monitor the loans carefully.</v>
    <v/>
    <v>0</v>
    <v>0</v>
  </rv>
  <rv s="0">
    <v>0</v>
    <v>18. We're very comfortable with our balance sheet even in the current environment where, obviously, there's a lot of stress on the system with the debt ceiling and the rest.</v>
    <v>TetrisApp</v>
    <v>1</v>
    <v>2</v>
    <v>18. We're very comfortable with our balance sheet even in the current environment where, obviously, there's a lot of stress on the system with the debt ceiling and the rest.</v>
    <v/>
    <v>0</v>
    <v>0</v>
  </rv>
  <rv s="0">
    <v>0</v>
    <v>19. The Board was comfortable raising the dividend for the first time in many, many years because of the significant turnaround of GI underwriting results over the past 5 years.</v>
    <v>TetrisApp</v>
    <v>1</v>
    <v>2</v>
    <v>19. The Board was comfortable raising the dividend for the first time in many, many years because of the significant turnaround of GI underwriting results over the past 5 years.</v>
    <v/>
    <v>0</v>
    <v>0</v>
  </rv>
  <rv s="0">
    <v>0</v>
    <v>20. We remain committed to reducing our ownership interest in Corebridge and will explore other options that are aligned with the best interest of shareholders."</v>
    <v>TetrisApp</v>
    <v>1</v>
    <v>2</v>
    <v>20. We remain committed to reducing our ownership interest in Corebridge and will explore other options that are aligned with the best interest of shareholders."</v>
    <v>So higher interest rates have slowed the amortization on certain VFA contracts.</v>
    <v>33</v>
    <v>0.14000000000000001</v>
  </rv>
  <rv s="0">
    <v>0</v>
    <v>1. Our financial strength, disciplined asset liability management and robust risk management position us well to navigate the current macroeconomic environment while maintaining our balanced approach to capital deployment focused on creating value for our stakeholders.</v>
    <v>TetrisApp</v>
    <v>1</v>
    <v>2</v>
    <v>1. Our financial strength, disciplined asset liability management and robust risk management position us well to navigate the current macroeconomic environment while maintaining our balanced approach to capital deployment focused on creating value for our stakeholders.</v>
    <v/>
    <v>0</v>
    <v>0</v>
  </rv>
  <rv s="0">
    <v>0</v>
    <v>2. Prudential's rock solid balance sheet and robust risk and capital management frameworks have allowed us to confidently navigate the current macroeconomic environment.</v>
    <v>TetrisApp</v>
    <v>1</v>
    <v>2</v>
    <v>2. Prudential's rock solid balance sheet and robust risk and capital management frameworks have allowed us to confidently navigate the current macroeconomic environment.</v>
    <v/>
    <v>0</v>
    <v>0</v>
  </rv>
  <rv s="0">
    <v>0</v>
    <v>3. Our financial strength, including our AA rating is supported by $4.6 billion in highly liquid assets at the end of the first quarter as well as a high-quality, well-diversified investment portfolio and a disciplined approach to asset liability management.</v>
    <v>TetrisApp</v>
    <v>1</v>
    <v>2</v>
    <v>3. Our financial strength, including our AA rating is supported by $4.6 billion in highly liquid assets at the end of the first quarter as well as a high-quality, well-diversified investment portfolio and a disciplined approach to asset liability management.</v>
    <v/>
    <v>0</v>
    <v>0</v>
  </rv>
  <rv s="0">
    <v>0</v>
    <v>4. I'll also provide an overview of our investment portfolio and specifically our commercial real estate holdings, given the increased focus on the risks associated with a potential near-term credit cycle.</v>
    <v>TetrisApp</v>
    <v>1</v>
    <v>2</v>
    <v>4. I'll also provide an overview of our investment portfolio and specifically our commercial real estate holdings, given the increased focus on the risks associated with a potential near-term credit cycle.</v>
    <v>"Taking a broader view of investments rising interest rates are a long-term positive for MetLife."</v>
    <v>12</v>
    <v>0.13</v>
  </rv>
  <rv s="0">
    <v>0</v>
    <v>5. These results reflect underlying business growth, including the benefits from a higher interest rate environment, offset by lower variable investment and fee income as well as elevated seasonal mortality experience.</v>
    <v>TetrisApp</v>
    <v>1</v>
    <v>2</v>
    <v>5. These results reflect underlying business growth, including the benefits from a higher interest rate environment, offset by lower variable investment and fee income as well as elevated seasonal mortality experience.</v>
    <v/>
    <v>0</v>
    <v>0</v>
  </rv>
  <rv s="0">
    <v>0</v>
    <v>6. PGIM, our global investment manager, had lower asset management fees due to lower assets under management resulting from the higher interest rates, equity market declines and net outflows.</v>
    <v>TetrisApp</v>
    <v>1</v>
    <v>2</v>
    <v>6. PGIM, our global investment manager, had lower asset management fees due to lower assets under management resulting from the higher interest rates, equity market declines and net outflows.</v>
    <v>So higher interest rates have slowed the amortization on certain VFA contracts.</v>
    <v>33</v>
    <v>0.15</v>
  </rv>
  <rv s="0">
    <v>0</v>
    <v>7. Retail outflows were driven by investors rebalancing amidst higher interest rates and inflation, consistent with the industry.</v>
    <v>TetrisApp</v>
    <v>1</v>
    <v>2</v>
    <v>7. Retail outflows were driven by investors rebalancing amidst higher interest rates and inflation, consistent with the industry.</v>
    <v>So higher interest rates have slowed the amortization on certain VFA contracts.</v>
    <v>33</v>
    <v>0.14000000000000001</v>
  </rv>
  <rv s="0">
    <v>0</v>
    <v>8. We continue to enhance our customer and adviser experiences and further expand our addressable market.</v>
    <v>TetrisApp</v>
    <v>1</v>
    <v>2</v>
    <v>8. We continue to enhance our customer and adviser experiences and further expand our addressable market.</v>
    <v>We continue to shift towards higher growth and less market-sensitive products and markets, enhance our customer and adviser experiences and further expand our addressable market.</v>
    <v>45</v>
    <v>0.35</v>
  </rv>
  <rv s="0">
    <v>0</v>
    <v>9. Our disciplined approach to capital deployment also enables us to effectively balance investing in the long-term growth of our businesses with returning capital to shareholders.</v>
    <v>TetrisApp</v>
    <v>1</v>
    <v>2</v>
    <v>9. Our disciplined approach to capital deployment also enables us to effectively balance investing in the long-term growth of our businesses with returning capital to shareholders.</v>
    <v/>
    <v>0</v>
    <v>0</v>
  </rv>
  <rv s="0">
    <v>0</v>
    <v>10. Our capital position continues to support our AA financial strength rating.</v>
    <v>TetrisApp</v>
    <v>1</v>
    <v>2</v>
    <v>10. Our capital position continues to support our AA financial strength rating.</v>
    <v>"Our investment process has stood the test of time, successfully guiding us through the global financial crisis."</v>
    <v>14</v>
    <v>0.13</v>
  </rv>
  <rv s="0">
    <v>0</v>
    <v>11. We have substantial off-balance sheet resources, including contingent capital and liquidity facilities.</v>
    <v>TetrisApp</v>
    <v>1</v>
    <v>2</v>
    <v>11. We have substantial off-balance sheet resources, including contingent capital and liquidity facilities.</v>
    <v/>
    <v>0</v>
    <v>0</v>
  </rv>
  <rv s="0">
    <v>0</v>
    <v>12. We remain thoughtful in our capital deployment, balancing the preservation of financial strength and flexibility, investment in our businesses and shareholder distributions.</v>
    <v>TetrisApp</v>
    <v>1</v>
    <v>2</v>
    <v>12. We remain thoughtful in our capital deployment, balancing the preservation of financial strength and flexibility, investment in our businesses and shareholder distributions.</v>
    <v/>
    <v>0</v>
    <v>0</v>
  </rv>
  <rv s="0">
    <v>0</v>
    <v>13. Our cash and liquid assets were $4.6 billion at the high end of our liquidity target range.</v>
    <v>TetrisApp</v>
    <v>1</v>
    <v>2</v>
    <v>13. Our cash and liquid assets were $4.6 billion at the high end of our liquidity target range.</v>
    <v/>
    <v>0</v>
    <v>0</v>
  </rv>
  <rv s="0">
    <v>0</v>
    <v>14. We expect that the near-term of flow volatility in the institutional business will remain volatile given the heightened macroeconomic, geopolitical and market uncertainty.</v>
    <v>TetrisApp</v>
    <v>1</v>
    <v>2</v>
    <v>14. We expect that the near-term of flow volatility in the institutional business will remain volatile given the heightened macroeconomic, geopolitical and market uncertainty.</v>
    <v/>
    <v>0</v>
    <v>0</v>
  </rv>
  <rv s="0">
    <v>0</v>
    <v>15. Our long-term investment performance remains very, very strong with over 80% of our benchmarkable assets outperforming the 3-, 5- and 10-year marks.</v>
    <v>TetrisApp</v>
    <v>1</v>
    <v>2</v>
    <v>15. Our long-term investment performance remains very, very strong with over 80% of our benchmarkable assets outperforming the 3-, 5- and 10-year marks.</v>
    <v/>
    <v>0</v>
    <v>0</v>
  </rv>
  <rv s="0">
    <v>0</v>
    <v>16. As the investment engine of Prudential, the success and growth of PGIM and of our U.S. and International insurance and Retirement businesses are mutually self-reinforcing.</v>
    <v>TetrisApp</v>
    <v>1</v>
    <v>2</v>
    <v>16. As the investment engine of Prudential, the success and growth of PGIM and of our U.S. and International insurance and Retirement businesses are mutually self-reinforcing.</v>
    <v/>
    <v>0</v>
    <v>0</v>
  </rv>
  <rv s="0">
    <v>0</v>
    <v>17. We have a disciplined approach to our investment portfolio of construction and management.</v>
    <v>TetrisApp</v>
    <v>1</v>
    <v>2</v>
    <v>17. We have a disciplined approach to our investment portfolio of construction and management.</v>
    <v>"Overall, the portfolio is well positioned and built for resilience through uncertain markets."</v>
    <v>18</v>
    <v>0.13</v>
  </rv>
  <rv s="0">
    <v>0</v>
    <v>18. Any potential credit losses in these scenarios are factored into our capital management framework and are expected to be manageable.</v>
    <v>TetrisApp</v>
    <v>1</v>
    <v>2</v>
    <v>18. Any potential credit losses in these scenarios are factored into our capital management framework and are expected to be manageable.</v>
    <v>So higher interest rates have slowed the amortization on certain VFA contracts.</v>
    <v>33</v>
    <v>0.13</v>
  </rv>
  <rv s="0">
    <v>0</v>
    <v>19. We continue to be focused on investing in growth businesses and markets, delivering industry-leading customer experiences and creating the next generation of financial solutions to better serve the diverse needs of a broad range of customers.</v>
    <v>TetrisApp</v>
    <v>1</v>
    <v>2</v>
    <v>19. We continue to be focused on investing in growth businesses and markets, delivering industry-leading customer experiences and creating the next generation of financial solutions to better serve the diverse needs of a broad range of customers.</v>
    <v/>
    <v>0</v>
    <v>0</v>
  </rv>
  <rv s="0">
    <v>0</v>
    <v>20. We continue to navigate the current macro environment with the financial strength of our rock-solid balance sheet, and we maintain a balanced and disciplined approach to capital deployment."</v>
    <v>TetrisApp</v>
    <v>1</v>
    <v>2</v>
    <v>20. We continue to navigate the current macro environment with the financial strength of our rock-solid balance sheet, and we maintain a balanced and disciplined approach to capital deployment."</v>
    <v/>
    <v>0</v>
    <v>0</v>
  </rv>
  <rv s="0">
    <v>0</v>
    <v>1. Throughout MetLife's 155-year history, with risk management at our foundation, we have emerged from times of uncertainty in a stronger position; and I expect now to be no different. We remain focused on managing risks across economic cycles and controlling the things we can control to deliver for our shareholders and our other stakeholders.</v>
    <v>TetrisApp</v>
    <v>1</v>
    <v>2</v>
    <v>1. Throughout MetLife's 155-year history, with risk management at our foundation, we have emerged from times of uncertainty in a stronger position; and I expect now to be no different. We remain focused on managing risks across economic cycles and controlling the things we can control to deliver for our shareholders and our other stakeholders.</v>
    <v>"we have emerged from times of uncertainty in a stronger position; and I expect now to be no different"</v>
    <v>43</v>
    <v>0.14000000000000001</v>
  </rv>
  <rv s="0">
    <v>0</v>
    <v>2. Reflecting the market, variable investment income fell below our quarterly outlook expectation on the basis of returns on venture capital and real estate equity funds.</v>
    <v>TetrisApp</v>
    <v>1</v>
    <v>2</v>
    <v>2. Reflecting the market, variable investment income fell below our quarterly outlook expectation on the basis of returns on venture capital and real estate equity funds.</v>
    <v/>
    <v>0</v>
    <v>0</v>
  </rv>
  <rv s="0">
    <v>0</v>
    <v>3. Taking a broader view of investments rising interest rates are a long-term positive for MetLife. We have a long time horizon and invest with our liabilities in mind.</v>
    <v>TetrisApp</v>
    <v>1</v>
    <v>2</v>
    <v>3. Taking a broader view of investments rising interest rates are a long-term positive for MetLife. We have a long time horizon and invest with our liabilities in mind.</v>
    <v>"Taking a broader view of investments rising interest rates are a long-term positive for MetLife."</v>
    <v>12</v>
    <v>0.26</v>
  </rv>
  <rv s="0">
    <v>0</v>
    <v>4. Our investment process has stood the test of time, successfully guiding us through the global financial crisis.</v>
    <v>TetrisApp</v>
    <v>1</v>
    <v>2</v>
    <v>4. Our investment process has stood the test of time, successfully guiding us through the global financial crisis.</v>
    <v>"Our investment process has stood the test of time, successfully guiding us through the global financial crisis."</v>
    <v>14</v>
    <v>0.6</v>
  </rv>
  <rv s="0">
    <v>0</v>
    <v>5. However, we do not have the luxury to wait until a crisis hits. We look around corners and prepare in advance.</v>
    <v>TetrisApp</v>
    <v>1</v>
    <v>2</v>
    <v>5. However, we do not have the luxury to wait until a crisis hits. We look around corners and prepare in advance.</v>
    <v/>
    <v>0</v>
    <v>0</v>
  </rv>
  <rv s="0">
    <v>0</v>
    <v>6. In addition, net investment losses in the quarter included an increase in the current expected credit loss or CECL allowance, primarily in our commercial mortgage loan portfolio given the current environment.</v>
    <v>TetrisApp</v>
    <v>1</v>
    <v>2</v>
    <v>6. In addition, net investment losses in the quarter included an increase in the current expected credit loss or CECL allowance, primarily in our commercial mortgage loan portfolio given the current environment.</v>
    <v>So higher interest rates have slowed the amortization on certain VFA contracts.</v>
    <v>33</v>
    <v>0.13</v>
  </rv>
  <rv s="0">
    <v>0</v>
    <v>7. Lower interest rates in the quarter drove an MRB loss.</v>
    <v>TetrisApp</v>
    <v>1</v>
    <v>2</v>
    <v>7. Lower interest rates in the quarter drove an MRB loss.</v>
    <v>"Lower interest rates in the quarter drove an MRB loss. This loss was partially offset by derivative gains relating to lower interest rates."</v>
    <v>15</v>
    <v>0.47</v>
  </rv>
  <rv s="0">
    <v>0</v>
    <v>8. The Group Life mortality ratio was 90.5%, slightly above the top end of our annual target range of 85% to 90%. As we have noted before, Group Life's mortality ratio tends to be seasonally highest in the first quarter.</v>
    <v>TetrisApp</v>
    <v>1</v>
    <v>2</v>
    <v>8. The Group Life mortality ratio was 90.5%, slightly above the top end of our annual target range of 85% to 90%. As we have noted before, Group Life's mortality ratio tends to be seasonally highest in the first quarter.</v>
    <v>"As we have noted before, Group Life's mortality ratio tends to be seasonally highest in the first quarter. The drivers were excess mortality due to claims resulting from the year-end flu spike and higher severity"</v>
    <v>47</v>
    <v>0.18</v>
  </rv>
  <rv s="0">
    <v>0</v>
    <v>9. Overall, COVID-19 related deaths in Mexico were down significantly year-over-year.</v>
    <v>TetrisApp</v>
    <v>1</v>
    <v>2</v>
    <v>9. Overall, COVID-19 related deaths in Mexico were down significantly year-over-year.</v>
    <v/>
    <v>0</v>
    <v>0</v>
  </rv>
  <rv s="0">
    <v>0</v>
    <v>10. While VII underperformed this quarter and is approximately 4% of the portfolio, the 3-, 5- and 10-year cumulative private equity annual returns through Q1 of ' 23 were 19.8%, 17.2% and 16%, respectively, demonstrating the long-term value of incorporating this asset class into our asset and liability management.</v>
    <v>TetrisApp</v>
    <v>1</v>
    <v>2</v>
    <v>10. While VII underperformed this quarter and is approximately 4% of the portfolio, the 3-, 5- and 10-year cumulative private equity annual returns through Q1 of ' 23 were 19.8%, 17.2% and 16%, respectively, demonstrating the long-term value of incorporating this asset class into our asset and liability management.</v>
    <v/>
    <v>0</v>
    <v>0</v>
  </rv>
  <rv s="0">
    <v>0</v>
    <v>11. In this quarter, our global new money yield reached its highest level in more than a decade at 5.82%, 123 basis points higher than the roll-off yield.</v>
    <v>TetrisApp</v>
    <v>1</v>
    <v>2</v>
    <v>11. In this quarter, our global new money yield reached its highest level in more than a decade at 5.82%, 123 basis points higher than the roll-off yield.</v>
    <v>"In this quarter, our global new money yield reached its highest level in more than a decade at $5.82 \%, 123$ basis points higher than the roll-off yield.</v>
    <v>62</v>
    <v>0.43</v>
  </rv>
  <rv s="0">
    <v>0</v>
    <v>12. The portfolio is well positioned and built for resilience through uncertain markets.</v>
    <v>TetrisApp</v>
    <v>1</v>
    <v>2</v>
    <v>12. The portfolio is well positioned and built for resilience through uncertain markets.</v>
    <v>"Overall, the portfolio is well positioned and built for resilience through uncertain markets."</v>
    <v>18</v>
    <v>0.61</v>
  </rv>
  <rv s="0">
    <v>0</v>
    <v>13. The commercial mortgage loan allowance for credit loss stands at $319 million, including the roughly $100 million increase in Q1 of '23, and considers the current environment as well as the risk around the economic outlook.</v>
    <v>TetrisApp</v>
    <v>1</v>
    <v>2</v>
    <v>13. The commercial mortgage loan allowance for credit loss stands at $319 million, including the roughly $100 million increase in Q1 of '23, and considers the current environment as well as the risk around the economic outlook.</v>
    <v>"The commercial mortgage loan allowance for credit loss stands at $319 million, including the roughly $100 million increase in Q1 of '23, and considers the current environment as well as the risk around the economic outlook."</v>
    <v>48</v>
    <v>0.5</v>
  </rv>
  <rv s="0">
    <v>0</v>
    <v>14. With regards to loan maturities, only 14% of the CML portfolio is scheduled to mature in 2023, with 36% of these loans already favorably resolved through extensions or payoffs.</v>
    <v>TetrisApp</v>
    <v>1</v>
    <v>2</v>
    <v>14. With regards to loan maturities, only 14% of the CML portfolio is scheduled to mature in 2023, with 36% of these loans already favorably resolved through extensions or payoffs.</v>
    <v>"Overall, the portfolio is well positioned and built for resilience through uncertain markets."</v>
    <v>18</v>
    <v>0.13</v>
  </rv>
  <rv s="0">
    <v>0</v>
    <v>15. We regularly stress test the portfolio. We've just gone through another round of that testing, no surprises, just given what's happening in the market.</v>
    <v>TetrisApp</v>
    <v>1</v>
    <v>2</v>
    <v>15. We regularly stress test the portfolio. We've just gone through another round of that testing, no surprises, just given what's happening in the market.</v>
    <v/>
    <v>0</v>
    <v>0</v>
  </rv>
  <rv s="0">
    <v>0</v>
    <v>16. The implications of severe stress tests are really very modest.</v>
    <v>TetrisApp</v>
    <v>1</v>
    <v>2</v>
    <v>16. The implications of severe stress tests are really very modest.</v>
    <v>So higher interest rates have slowed the amortization on certain VFA contracts.</v>
    <v>33</v>
    <v>0.14000000000000001</v>
  </rv>
  <rv s="0">
    <v>0</v>
    <v>17. So when you really put that in the context of what it means to capital, it's very, very modest impact.</v>
    <v>TetrisApp</v>
    <v>1</v>
    <v>2</v>
    <v>17. So when you really put that in the context of what it means to capital, it's very, very modest impact.</v>
    <v/>
    <v>0</v>
    <v>0</v>
  </rv>
  <rv s="0">
    <v>0</v>
    <v>18. While private equity and real estate funds underperformed this quarter, core spreads remained robust.</v>
    <v>TetrisApp</v>
    <v>1</v>
    <v>2</v>
    <v>18. While private equity and real estate funds underperformed this quarter, core spreads remained robust.</v>
    <v/>
    <v>0</v>
    <v>0</v>
  </rv>
  <rv s="0">
    <v>0</v>
    <v>19. In addition, results in our market-leading franchises, Group Benefits and Latin America, continued their strong top and bottom line growth.</v>
    <v>TetrisApp</v>
    <v>1</v>
    <v>2</v>
    <v>19. In addition, results in our market-leading franchises, Group Benefits and Latin America, continued their strong top and bottom line growth.</v>
    <v/>
    <v>0</v>
    <v>0</v>
  </rv>
  <rv s="0">
    <v>0</v>
    <v>20. While market fluctuations are expected to continue, MetLife remains in a position of strength given our balance sheet, investment portfolio, free cash flow generation and the diversification of our market-leading businesses."</v>
    <v>TetrisApp</v>
    <v>1</v>
    <v>2</v>
    <v>20. While market fluctuations are expected to continue, MetLife remains in a position of strength given our balance sheet, investment portfolio, free cash flow generation and the diversification of our market-leading businesses."</v>
    <v>"While market fluctuations are expected to continue, MetLife remains in a position of strength given our balance sheet, investment portfolio, free cash flow generation and the diversification of our market-leading businesses."</v>
    <v>21</v>
    <v>0.52</v>
  </rv>
  <rv s="0">
    <v>0</v>
    <v>1. Turning to Slide 11. Throughout 2022, we delivered solid core earnings and stable growth in adjusted book value per share despite a challenging market and operating environment.</v>
    <v>TetrisApp</v>
    <v>1</v>
    <v>2</v>
    <v>1. Turning to Slide 11. Throughout 2022, we delivered solid core earnings and stable growth in adjusted book value per share despite a challenging market and operating environment.</v>
    <v>"Throughout 2022, we delivered solid core earnings and stable growth in adjusted book value per share despite a challenging market and operating environment."</v>
    <v>10</v>
    <v>0.37</v>
  </rv>
  <rv s="0">
    <v>0</v>
    <v>2. Upon transition to IFRS 17, our LICAT ratio increased 5 percentage points to 136%, largely because the LICAT ratio under IFRS 4 was lowered by the impact of rising interest rates during 2022.</v>
    <v>TetrisApp</v>
    <v>1</v>
    <v>2</v>
    <v>2. Upon transition to IFRS 17, our LICAT ratio increased 5 percentage points to 136%, largely because the LICAT ratio under IFRS 4 was lowered by the impact of rising interest rates during 2022.</v>
    <v>So higher interest rates have slowed the amortization on certain VFA contracts.</v>
    <v>33</v>
    <v>0.15</v>
  </rv>
  <rv s="0">
    <v>0</v>
    <v>3. The insurance experience losses recognized in core earnings reflected the current period impact of the elevated mortality in 2022 due to the Omicron wave of the pandemic as well as the impact of Hurricane Ian on our property and casualty reinsurance business in the third quarter.</v>
    <v>TetrisApp</v>
    <v>1</v>
    <v>2</v>
    <v>3. The insurance experience losses recognized in core earnings reflected the current period impact of the elevated mortality in 2022 due to the Omicron wave of the pandemic as well as the impact of Hurricane Ian on our property and casualty reinsurance business in the third quarter.</v>
    <v>"The insurance experience losses recognized in core earnings reflected the current period impact of the elevated mortality in 2022 due to the Omicron wave of the pandemic as well as the impact of Hurricane Ian on our property and casualty reinsurance business in the third quarter."</v>
    <v>11</v>
    <v>0.48</v>
  </rv>
  <rv s="0">
    <v>0</v>
    <v>4. A modest credit experience loss of $34 million represented the change in expected credit loss or ECL. Our result reflects the quality of our fixed income portfolio amid a challenging global macroeconomic environment in 2022.</v>
    <v>TetrisApp</v>
    <v>1</v>
    <v>2</v>
    <v>4. A modest credit experience loss of $34 million represented the change in expected credit loss or ECL. Our result reflects the quality of our fixed income portfolio amid a challenging global macroeconomic environment in 2022.</v>
    <v/>
    <v>0</v>
    <v>0</v>
  </rv>
  <rv s="0">
    <v>0</v>
    <v>5. Market experience was a net charge of $65 million in the first quarter. This included a $364 million charge from lower-than-expected returns on alternative long-duration assets, largely related to real estate and private equity.</v>
    <v>TetrisApp</v>
    <v>1</v>
    <v>2</v>
    <v>5. Market experience was a net charge of $65 million in the first quarter. This included a $364 million charge from lower-than-expected returns on alternative long-duration assets, largely related to real estate and private equity.</v>
    <v/>
    <v>0</v>
    <v>0</v>
  </rv>
  <rv s="0">
    <v>0</v>
    <v>6. With office real estate under some cyclical and secular pressures, there could be further declines in this asset class if conditions in the macro environments deteriorate further.</v>
    <v>TetrisApp</v>
    <v>1</v>
    <v>2</v>
    <v>6. With office real estate under some cyclical and secular pressures, there could be further declines in this asset class if conditions in the macro environments deteriorate further.</v>
    <v/>
    <v>0</v>
    <v>0</v>
  </rv>
  <rv s="0">
    <v>0</v>
    <v>7. Our financial strength and stability are as important as ever as the macro backdrop remains uncertain. Our investment portfolio is high quality and well diversified.</v>
    <v>TetrisApp</v>
    <v>1</v>
    <v>2</v>
    <v>7. Our financial strength and stability are as important as ever as the macro backdrop remains uncertain. Our investment portfolio is high quality and well diversified.</v>
    <v/>
    <v>0</v>
    <v>0</v>
  </rv>
  <rv s="0">
    <v>0</v>
    <v>8. Despite that, we delivered 11% growth in our core EPS to $0.79 per common share, reflecting strong core earnings of $1.5 billion and the impact of our share buyback program over the past year, which is supported by our strong capital position.</v>
    <v>TetrisApp</v>
    <v>1</v>
    <v>2</v>
    <v>8. Despite that, we delivered 11% growth in our core EPS to $0.79 per common share, reflecting strong core earnings of $1.5 billion and the impact of our share buyback program over the past year, which is supported by our strong capital position.</v>
    <v>"Despite that, we delivered 11% growth in our core EPS to $0.79 per common share, reflecting strong core earnings of $1.5 billion and the impact of our share buyback program over the past year, which is supported by our strong capital position."</v>
    <v>39</v>
    <v>0.49</v>
  </rv>
  <rv s="0">
    <v>0</v>
    <v>9. In the first quarter, we moved certain loans to Stage 3 as part of our regular diligence and credit review process that takes into account property values, cash flows and other considerations.</v>
    <v>TetrisApp</v>
    <v>1</v>
    <v>2</v>
    <v>9. In the first quarter, we moved certain loans to Stage 3 as part of our regular diligence and credit review process that takes into account property values, cash flows and other considerations.</v>
    <v>So higher interest rates have slowed the amortization on certain VFA contracts.</v>
    <v>33</v>
    <v>0.15</v>
  </rv>
  <rv s="0">
    <v>0</v>
    <v>10. The elevated mortality experience from COVID-19 impacted our core earnings in CSM differently in 2022, particularly in our U.S. segment results.</v>
    <v>TetrisApp</v>
    <v>1</v>
    <v>2</v>
    <v>10. The elevated mortality experience from COVID-19 impacted our core earnings in CSM differently in 2022, particularly in our U.S. segment results.</v>
    <v>"The elevated mortality experience from COVID-19 impacted our core earnings in CSM differently in 2022, particularly in our U.S. segment results."</v>
    <v>17</v>
    <v>0.55000000000000004</v>
  </rv>
  <rv s="0">
    <v>0</v>
    <v>11. Turning to Slide 17. 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v>
    <v>TetrisApp</v>
    <v>1</v>
    <v>2</v>
    <v>11. Turning to Slide 17. 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v>
    <v>"The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v>
    <v>16</v>
    <v>0.32</v>
  </rv>
  <rv s="0">
    <v>0</v>
    <v>12. In addition, our U.S. long-term care business reported insurance experience gains in the CSM due to elevated mortality. 2022 results are not indicative of future experience given the impact of the pandemic.</v>
    <v>TetrisApp</v>
    <v>1</v>
    <v>2</v>
    <v>12. In addition, our U.S. long-term care business reported insurance experience gains in the CSM due to elevated mortality. 2022 results are not indicative of future experience given the impact of the pandemic.</v>
    <v/>
    <v>0</v>
    <v>0</v>
  </rv>
  <rv s="0">
    <v>0</v>
    <v>13. Slide 20 shows the summary of our financial performance for the first quarter and our medium-term financial targets. We're pleased that our core EPS growth and core ROE were tracking well against our medium-term targets.</v>
    <v>TetrisApp</v>
    <v>1</v>
    <v>2</v>
    <v>13. Slide 20 shows the summary of our financial performance for the first quarter and our medium-term financial targets. We're pleased that our core EPS growth and core ROE were tracking well against our medium-term targets.</v>
    <v/>
    <v>0</v>
    <v>0</v>
  </rv>
  <rv s="0">
    <v>0</v>
    <v>14. Slide 21 compares our interest rate-related sensitivities as of December 31, 2022, on both the old IFRS 4 and new IFRS 17 accounting basis. While our net income sensitivities are of similar magnitude, the OCI sensitivities to risk-free rates reduced significantly under the new accounting standards.</v>
    <v>TetrisApp</v>
    <v>1</v>
    <v>2</v>
    <v>14. Slide 21 compares our interest rate-related sensitivities as of December 31, 2022, on both the old IFRS 4 and new IFRS 17 accounting basis. While our net income sensitivities are of similar magnitude, the OCI sensitivities to risk-free rates reduced significantly under the new accounting standards.</v>
    <v/>
    <v>0</v>
    <v>0</v>
  </rv>
  <rv s="0">
    <v>0</v>
    <v>15. As we've looked at it, we do try to construct a portfolio that's as low vol as we can get. We do that in a couple of ways. One is within each category of our 6 ALDA categories, we do try to stay at the low end of the risk return spectrum, and we could give you many examples of that.</v>
    <v>TetrisApp</v>
    <v>1</v>
    <v>2</v>
    <v>15. As we've looked at it, we do try to construct a portfolio that's as low vol as we can get. We do that in a couple of ways. One is within each category of our 6 ALDA categories, we do try to stay at the low end of the risk return spectrum, and we could give you many examples of that.</v>
    <v/>
    <v>0</v>
    <v>0</v>
  </rv>
  <rv s="0">
    <v>0</v>
    <v>16. The core net investment result increased 14% from the prior year quarter, driven by higher expected investment earnings, which reflects both portfolio growth and higher reinvestment yields.</v>
    <v>TetrisApp</v>
    <v>1</v>
    <v>2</v>
    <v>16. The core net investment result increased 14% from the prior year quarter, driven by higher expected investment earnings, which reflects both portfolio growth and higher reinvestment yields.</v>
    <v>"Taking a broader view of investments rising interest rates are a long-term positive for MetLife."</v>
    <v>12</v>
    <v>0.13</v>
  </rv>
  <rv s="0">
    <v>0</v>
    <v>17. And finally, a large component of the other investment results reflects foreign exchange impacts. This is in part driven by the delinking of the assets and liability discount rates as part of IFRS 17 and IFRS 9 transition.</v>
    <v>TetrisApp</v>
    <v>1</v>
    <v>2</v>
    <v>17. And finally, a large component of the other investment results reflects foreign exchange impacts. This is in part driven by the delinking of the assets and liability discount rates as part of IFRS 17 and IFRS 9 transition.</v>
    <v/>
    <v>0</v>
    <v>0</v>
  </rv>
  <rv s="0">
    <v>0</v>
    <v>18. Our commercial mortgage portfolio is diversified and has performed well through previous economic cycles.</v>
    <v>TetrisApp</v>
    <v>1</v>
    <v>2</v>
    <v>18. Our commercial mortgage portfolio is diversified and has performed well through previous economic cycles.</v>
    <v>"Overall, the portfolio is well positioned and built for resilience through uncertain markets."</v>
    <v>18</v>
    <v>0.14000000000000001</v>
  </rv>
  <rv s="0">
    <v>0</v>
    <v>19. We delivered a core net investment result of $3.1 billion in 2022, including $2.2 billion in expected investment earnings and $0.9 billion in expected earnings on surplus.</v>
    <v>TetrisApp</v>
    <v>1</v>
    <v>2</v>
    <v>19. We delivered a core net investment result of $3.1 billion in 2022, including $2.2 billion in expected investment earnings and $0.9 billion in expected earnings on surplus.</v>
    <v>"Core earnings in the U.S. increased by 23%, reflecting improved insurance experience, increased expected investment earnings and lower onerous losses on new insurance business."</v>
    <v>7</v>
    <v>0.13</v>
  </rv>
  <rv s="0">
    <v>0</v>
    <v>20. The market experienced losses in 2022 were primarily driven by lower-than-expected returns on public equity, net realized losses on fixed income investments and foreign exchange-related impacts, partially offset by net gains from hedge ineffectiveness and derivatives that were not in hedging relationships."</v>
    <v>TetrisApp</v>
    <v>1</v>
    <v>2</v>
    <v>20. The market experienced losses in 2022 were primarily driven by lower-than-expected returns on public equity, net realized losses on fixed income investments and foreign exchange-related impacts, partially offset by net gains from hedge ineffectiveness and derivatives that were not in hedging relationships."</v>
    <v/>
    <v>0</v>
    <v>0</v>
  </rv>
  <rv s="1">
    <v>0</v>
    <v>8</v>
    <v>44</v>
    <v>5</v>
  </rv>
</rvData>
</file>

<file path=xl/richData/rdrichvaluestructure.xml><?xml version="1.0" encoding="utf-8"?>
<rvStructures xmlns="http://schemas.microsoft.com/office/spreadsheetml/2017/richdata" count="2">
  <s t="_entity">
    <k n="_Display" t="spb"/>
    <k n="_DisplayString" t="s"/>
    <k n="_Icon" t="s"/>
    <k n="_Provider" t="spb"/>
    <k n="_SubLabel" t="spb"/>
    <k n="Lookup" t="s"/>
    <k n="Match" t="s"/>
    <k n="Row"/>
    <k n="Similarity"/>
  </s>
  <s t="_error">
    <k n="colOffset" t="i"/>
    <k n="errorType" t="i"/>
    <k n="rwOffset" t="i"/>
    <k n="subType" t="i"/>
  </s>
</rvStructures>
</file>

<file path=xl/richData/rdsupportingpropertybag.xml><?xml version="1.0" encoding="utf-8"?>
<supportingPropertyBags xmlns="http://schemas.microsoft.com/office/spreadsheetml/2017/richdata2">
  <spbArrays count="1">
    <a count="9">
      <v t="s">_SubLabel</v>
      <v t="s">_DisplayString</v>
      <v t="s">Lookup</v>
      <v t="s">Match</v>
      <v t="s">Row</v>
      <v t="s">Similarity</v>
      <v t="s">_Icon</v>
      <v t="s">_Provider</v>
      <v t="s">_Display</v>
    </a>
  </spbArrays>
  <spbData count="3">
    <spb s="0">
      <v>0</v>
    </spb>
    <spb s="1">
      <v>Boardflare | Fuzzy Match for Excel</v>
    </spb>
    <spb s="2">
      <v>in lookup_array, 1-based</v>
      <v>from lookup_array</v>
      <v>0 (least) - 1 (most)</v>
    </spb>
  </spbData>
</supportingPropertyBags>
</file>

<file path=xl/richData/rdsupportingpropertybagstructure.xml><?xml version="1.0" encoding="utf-8"?>
<spbStructures xmlns="http://schemas.microsoft.com/office/spreadsheetml/2017/richdata2" count="3">
  <s>
    <k n="^Order" t="spba"/>
  </s>
  <s>
    <k n="name" t="s"/>
  </s>
  <s>
    <k n="Row" t="s"/>
    <k n="Match" t="s"/>
    <k n="Similarity" t="s"/>
  </s>
</spb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5BBB2-F837-4F75-BADE-2BDA4FC7C0C0}" name="Prudential7" displayName="Prudential7" ref="A1:G269" totalsRowShown="0" headerRowDxfId="11" dataDxfId="10" headerRowBorderDxfId="8" tableBorderDxfId="9" totalsRowBorderDxfId="7">
  <autoFilter ref="A1:G269" xr:uid="{FD03F6E6-A789-4D7C-A2EC-97DD9DCB3E1A}">
    <filterColumn colId="1">
      <filters>
        <filter val="Macro factors"/>
      </filters>
    </filterColumn>
    <filterColumn colId="4">
      <filters>
        <filter val="0"/>
      </filters>
    </filterColumn>
  </autoFilter>
  <sortState xmlns:xlrd2="http://schemas.microsoft.com/office/spreadsheetml/2017/richdata2" ref="A2:G265">
    <sortCondition ref="B1:B269"/>
  </sortState>
  <tableColumns count="7">
    <tableColumn id="6" xr3:uid="{E898913E-17BC-4DF7-917D-EDB3875199D7}" name="Company" dataDxfId="6"/>
    <tableColumn id="1" xr3:uid="{2EFB169A-1185-4E16-A941-1A258BF15C5A}" name="Theme" dataDxfId="5"/>
    <tableColumn id="2" xr3:uid="{35CD5236-C045-4D16-961A-6FB59D59469C}" name="Commentary" dataDxfId="4"/>
    <tableColumn id="3" xr3:uid="{AD1A1F20-78B5-466A-9DB8-990C67295C14}" name="Page" dataDxfId="3"/>
    <tableColumn id="4" xr3:uid="{AE187C26-1E78-4940-9D80-0E43EF8D619A}" name="No-Match(0)/" dataDxfId="2">
      <calculatedColumnFormula>COUNTIFS('[1]Consolidated Testing(7-10)'!$C:$C,B2,'[1]Consolidated Testing(7-10)'!$G:$G,C2,'[1]Consolidated Testing(7-10)'!$J:$J,1)</calculatedColumnFormula>
    </tableColumn>
    <tableColumn id="5" xr3:uid="{E6ADC4C6-E0E5-451E-8EF1-B5FE537E1CF7}" name="Rationale for missing" dataDxfId="1"/>
    <tableColumn id="7" xr3:uid="{10343E25-B073-4AE3-A050-19C8E00DA3DE}" name="Conclusion" dataDxfId="0"/>
  </tableColumns>
  <tableStyleInfo name="General Table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3DA0C4-D6EE-475F-A512-D2391091D104}">
  <we:reference id="wa200006970" version="1.1.5.0" store="en-US" storeType="OMEX"/>
  <we:alternateReferences>
    <we:reference id="wa200006970" version="1.1.5.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_xldudf_BOARDFLARE_FMATCH</we:customFunctionIds>
        <we:customFunctionIds>_xldudf_BOARDFLARE_FLOOKUP</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
  <sheetViews>
    <sheetView tabSelected="1" topLeftCell="D1" workbookViewId="0">
      <selection activeCell="F3" sqref="F3"/>
    </sheetView>
  </sheetViews>
  <sheetFormatPr defaultRowHeight="14.4" x14ac:dyDescent="0.3"/>
  <cols>
    <col min="2" max="2" width="35.44140625" customWidth="1"/>
    <col min="4" max="4" width="48.44140625" customWidth="1"/>
    <col min="5" max="5" width="41.109375" customWidth="1"/>
    <col min="6" max="6" width="34.6640625" customWidth="1"/>
    <col min="8" max="8" width="53.21875" style="22" customWidth="1"/>
  </cols>
  <sheetData>
    <row r="1" spans="1:8" x14ac:dyDescent="0.3">
      <c r="A1" s="1" t="s">
        <v>0</v>
      </c>
      <c r="B1" s="1" t="s">
        <v>1</v>
      </c>
      <c r="C1" s="1" t="s">
        <v>2</v>
      </c>
      <c r="D1" s="1" t="s">
        <v>3</v>
      </c>
      <c r="E1" s="1" t="s">
        <v>4</v>
      </c>
      <c r="F1" s="2" t="s">
        <v>378</v>
      </c>
      <c r="G1" s="2" t="s">
        <v>377</v>
      </c>
      <c r="H1" s="21" t="s">
        <v>95</v>
      </c>
    </row>
    <row r="2" spans="1:8" x14ac:dyDescent="0.3">
      <c r="A2" t="s">
        <v>5</v>
      </c>
      <c r="B2" t="s">
        <v>6</v>
      </c>
      <c r="C2" t="s">
        <v>7</v>
      </c>
      <c r="D2" t="s">
        <v>8</v>
      </c>
      <c r="E2" t="s">
        <v>9</v>
      </c>
      <c r="F2" t="e" cm="1" vm="1">
        <f t="array" ref="F2">_xldudf_BOARDFLARE_FMATCH(E2,'FS Consolidated Comments'!C$76:C$137,0.13)</f>
        <v>#VALUE!</v>
      </c>
      <c r="G2" cm="1">
        <f t="array" ref="G2">_FV(F2,"Similarity")</f>
        <v>0</v>
      </c>
      <c r="H2" s="22" t="str" cm="1">
        <f t="array" ref="H2">_FV(F2,"Match")</f>
        <v/>
      </c>
    </row>
    <row r="3" spans="1:8" x14ac:dyDescent="0.3">
      <c r="A3" t="s">
        <v>5</v>
      </c>
      <c r="B3" t="s">
        <v>6</v>
      </c>
      <c r="C3" t="s">
        <v>7</v>
      </c>
      <c r="D3" t="s">
        <v>8</v>
      </c>
      <c r="E3" t="s">
        <v>10</v>
      </c>
      <c r="F3" t="e" cm="1" vm="2">
        <f t="array" ref="F3">_xldudf_BOARDFLARE_FMATCH(E3,'FS Consolidated Comments'!C$76:C$137,0.13)</f>
        <v>#VALUE!</v>
      </c>
      <c r="G3" cm="1">
        <f t="array" ref="G3">_FV(F3,"Similarity")</f>
        <v>0</v>
      </c>
      <c r="H3" s="22" t="str" cm="1">
        <f t="array" ref="H3">_FV(F3,"Match")</f>
        <v/>
      </c>
    </row>
    <row r="4" spans="1:8" x14ac:dyDescent="0.3">
      <c r="A4" t="s">
        <v>5</v>
      </c>
      <c r="B4" t="s">
        <v>6</v>
      </c>
      <c r="C4" t="s">
        <v>7</v>
      </c>
      <c r="D4" t="s">
        <v>8</v>
      </c>
      <c r="E4" t="s">
        <v>11</v>
      </c>
      <c r="F4" t="e" cm="1" vm="3">
        <f t="array" ref="F4">_xldudf_BOARDFLARE_FMATCH(E4,'FS Consolidated Comments'!C$76:C$137,0.13)</f>
        <v>#VALUE!</v>
      </c>
      <c r="G4" cm="1">
        <f t="array" ref="G4">_FV(F4,"Similarity")</f>
        <v>0.21</v>
      </c>
      <c r="H4" s="22" t="str" cm="1">
        <f t="array" ref="H4">_FV(F4,"Match")</f>
        <v>where overall net premiums written contracted 9% due to increased competition putting pressure on pricing as well as continued slowdown in M&amp;A and other transactional business.</v>
      </c>
    </row>
    <row r="5" spans="1:8" x14ac:dyDescent="0.3">
      <c r="A5" t="s">
        <v>5</v>
      </c>
      <c r="B5" t="s">
        <v>6</v>
      </c>
      <c r="C5" t="s">
        <v>7</v>
      </c>
      <c r="D5" t="s">
        <v>8</v>
      </c>
      <c r="E5" t="s">
        <v>12</v>
      </c>
      <c r="F5" t="e" cm="1" vm="4">
        <f t="array" ref="F5">_xldudf_BOARDFLARE_FMATCH(E5,'FS Consolidated Comments'!C$76:C$137,0.13)</f>
        <v>#VALUE!</v>
      </c>
      <c r="G5" cm="1">
        <f t="array" ref="G5">_FV(F5,"Similarity")</f>
        <v>0.22</v>
      </c>
      <c r="H5" s="22" t="str" cm="1">
        <f t="array" ref="H5">_FV(F5,"Match")</f>
        <v>In addition to the first quarter share repurchases and dividends that I mentioned earlier, against the backdrop of an unstable macroeconomic environment, we thought it was prudent to raise $750 million of debt at the end of March.</v>
      </c>
    </row>
    <row r="6" spans="1:8" x14ac:dyDescent="0.3">
      <c r="A6" t="s">
        <v>5</v>
      </c>
      <c r="B6" t="s">
        <v>6</v>
      </c>
      <c r="C6" t="s">
        <v>7</v>
      </c>
      <c r="D6" t="s">
        <v>8</v>
      </c>
      <c r="E6" t="s">
        <v>13</v>
      </c>
      <c r="F6" t="e" cm="1" vm="5">
        <f t="array" ref="F6">_xldudf_BOARDFLARE_FMATCH(E6,'FS Consolidated Comments'!C$76:C$137,0.13)</f>
        <v>#VALUE!</v>
      </c>
      <c r="G6" cm="1">
        <f t="array" ref="G6">_FV(F6,"Similarity")</f>
        <v>0</v>
      </c>
      <c r="H6" s="22" t="str" cm="1">
        <f t="array" ref="H6">_FV(F6,"Match")</f>
        <v/>
      </c>
    </row>
    <row r="7" spans="1:8" x14ac:dyDescent="0.3">
      <c r="A7" t="s">
        <v>5</v>
      </c>
      <c r="B7" t="s">
        <v>6</v>
      </c>
      <c r="C7" t="s">
        <v>7</v>
      </c>
      <c r="D7" t="s">
        <v>8</v>
      </c>
      <c r="E7" t="s">
        <v>14</v>
      </c>
      <c r="F7" t="e" cm="1" vm="6">
        <f t="array" ref="F7">_xldudf_BOARDFLARE_FMATCH(E7,'FS Consolidated Comments'!C$76:C$137,0.13)</f>
        <v>#VALUE!</v>
      </c>
      <c r="G7" cm="1">
        <f t="array" ref="G7">_FV(F7,"Similarity")</f>
        <v>0</v>
      </c>
      <c r="H7" s="22" t="str" cm="1">
        <f t="array" ref="H7">_FV(F7,"Match")</f>
        <v/>
      </c>
    </row>
    <row r="8" spans="1:8" x14ac:dyDescent="0.3">
      <c r="A8" t="s">
        <v>5</v>
      </c>
      <c r="B8" t="s">
        <v>6</v>
      </c>
      <c r="C8" t="s">
        <v>7</v>
      </c>
      <c r="D8" s="22" t="s">
        <v>8</v>
      </c>
      <c r="E8" t="s">
        <v>15</v>
      </c>
      <c r="F8" t="e" cm="1" vm="7">
        <f t="array" ref="F8">_xldudf_BOARDFLARE_FMATCH(E8,'FS Consolidated Comments'!C$76:C$137,0.13)</f>
        <v>#VALUE!</v>
      </c>
      <c r="G8" cm="1">
        <f t="array" ref="G8">_FV(F8,"Similarity")</f>
        <v>0.13</v>
      </c>
      <c r="H8" s="22" t="str" cm="1">
        <f t="array" ref="H8">_FV(F8,"Match")</f>
        <v>So higher interest rates have slowed the amortization on certain VFA contracts.</v>
      </c>
    </row>
    <row r="9" spans="1:8" x14ac:dyDescent="0.3">
      <c r="A9" t="s">
        <v>5</v>
      </c>
      <c r="B9" t="s">
        <v>6</v>
      </c>
      <c r="C9" t="s">
        <v>7</v>
      </c>
      <c r="D9" t="s">
        <v>8</v>
      </c>
      <c r="E9" t="s">
        <v>16</v>
      </c>
      <c r="F9" t="e" cm="1" vm="8">
        <f t="array" ref="F9">_xldudf_BOARDFLARE_FMATCH(E9,'FS Consolidated Comments'!C$76:C$137,0.13)</f>
        <v>#VALUE!</v>
      </c>
      <c r="G9" cm="1">
        <f t="array" ref="G9">_FV(F9,"Similarity")</f>
        <v>0</v>
      </c>
      <c r="H9" s="22" t="str" cm="1">
        <f t="array" ref="H9">_FV(F9,"Match")</f>
        <v/>
      </c>
    </row>
    <row r="10" spans="1:8" x14ac:dyDescent="0.3">
      <c r="A10" t="s">
        <v>5</v>
      </c>
      <c r="B10" t="s">
        <v>6</v>
      </c>
      <c r="C10" t="s">
        <v>7</v>
      </c>
      <c r="D10" t="s">
        <v>8</v>
      </c>
      <c r="E10" t="s">
        <v>17</v>
      </c>
      <c r="F10" t="e" cm="1" vm="9">
        <f t="array" ref="F10">_xldudf_BOARDFLARE_FMATCH(E10,'FS Consolidated Comments'!C$76:C$137,0.13)</f>
        <v>#VALUE!</v>
      </c>
      <c r="G10" cm="1">
        <f t="array" ref="G10">_FV(F10,"Similarity")</f>
        <v>0</v>
      </c>
      <c r="H10" s="22" t="str" cm="1">
        <f t="array" ref="H10">_FV(F10,"Match")</f>
        <v/>
      </c>
    </row>
    <row r="11" spans="1:8" x14ac:dyDescent="0.3">
      <c r="A11" t="s">
        <v>5</v>
      </c>
      <c r="B11" t="s">
        <v>6</v>
      </c>
      <c r="C11" t="s">
        <v>7</v>
      </c>
      <c r="D11" t="s">
        <v>8</v>
      </c>
      <c r="E11" t="s">
        <v>18</v>
      </c>
      <c r="F11" t="e" cm="1" vm="10">
        <f t="array" ref="F11">_xldudf_BOARDFLARE_FMATCH(E11,'FS Consolidated Comments'!C$76:C$137,0.13)</f>
        <v>#VALUE!</v>
      </c>
      <c r="G11" cm="1">
        <f t="array" ref="G11">_FV(F11,"Similarity")</f>
        <v>0</v>
      </c>
      <c r="H11" s="22" t="str" cm="1">
        <f t="array" ref="H11">_FV(F11,"Match")</f>
        <v/>
      </c>
    </row>
    <row r="12" spans="1:8" x14ac:dyDescent="0.3">
      <c r="A12" t="s">
        <v>5</v>
      </c>
      <c r="B12" t="s">
        <v>6</v>
      </c>
      <c r="C12" t="s">
        <v>7</v>
      </c>
      <c r="D12" t="s">
        <v>8</v>
      </c>
      <c r="E12" t="s">
        <v>19</v>
      </c>
      <c r="F12" t="e" cm="1" vm="11">
        <f t="array" ref="F12">_xldudf_BOARDFLARE_FMATCH(E12,'FS Consolidated Comments'!C$76:C$137,0.13)</f>
        <v>#VALUE!</v>
      </c>
      <c r="G12" cm="1">
        <f t="array" ref="G12">_FV(F12,"Similarity")</f>
        <v>0</v>
      </c>
      <c r="H12" s="22" t="str" cm="1">
        <f t="array" ref="H12">_FV(F12,"Match")</f>
        <v/>
      </c>
    </row>
    <row r="13" spans="1:8" x14ac:dyDescent="0.3">
      <c r="A13" t="s">
        <v>5</v>
      </c>
      <c r="B13" t="s">
        <v>6</v>
      </c>
      <c r="C13" t="s">
        <v>7</v>
      </c>
      <c r="D13" t="s">
        <v>8</v>
      </c>
      <c r="E13" t="s">
        <v>20</v>
      </c>
      <c r="F13" t="e" cm="1" vm="12">
        <f t="array" ref="F13">_xldudf_BOARDFLARE_FMATCH(E13,'FS Consolidated Comments'!C$76:C$137,0.13)</f>
        <v>#VALUE!</v>
      </c>
      <c r="G13" cm="1">
        <f t="array" ref="G13">_FV(F13,"Similarity")</f>
        <v>0</v>
      </c>
      <c r="H13" s="22" t="str" cm="1">
        <f t="array" ref="H13">_FV(F13,"Match")</f>
        <v/>
      </c>
    </row>
    <row r="14" spans="1:8" x14ac:dyDescent="0.3">
      <c r="A14" t="s">
        <v>5</v>
      </c>
      <c r="B14" t="s">
        <v>6</v>
      </c>
      <c r="C14" t="s">
        <v>7</v>
      </c>
      <c r="D14" t="s">
        <v>8</v>
      </c>
      <c r="E14" t="s">
        <v>21</v>
      </c>
      <c r="F14" t="e" cm="1" vm="13">
        <f t="array" ref="F14">_xldudf_BOARDFLARE_FMATCH(E14,'FS Consolidated Comments'!C$76:C$137,0.13)</f>
        <v>#VALUE!</v>
      </c>
      <c r="G14" cm="1">
        <f t="array" ref="G14">_FV(F14,"Similarity")</f>
        <v>0</v>
      </c>
      <c r="H14" s="22" t="str" cm="1">
        <f t="array" ref="H14">_FV(F14,"Match")</f>
        <v/>
      </c>
    </row>
    <row r="15" spans="1:8" x14ac:dyDescent="0.3">
      <c r="A15" t="s">
        <v>5</v>
      </c>
      <c r="B15" t="s">
        <v>6</v>
      </c>
      <c r="C15" t="s">
        <v>7</v>
      </c>
      <c r="D15" t="s">
        <v>8</v>
      </c>
      <c r="E15" t="s">
        <v>22</v>
      </c>
      <c r="F15" t="e" cm="1" vm="14">
        <f t="array" ref="F15">_xldudf_BOARDFLARE_FMATCH(E15,'FS Consolidated Comments'!C$76:C$137,0.13)</f>
        <v>#VALUE!</v>
      </c>
      <c r="G15" cm="1">
        <f t="array" ref="G15">_FV(F15,"Similarity")</f>
        <v>0</v>
      </c>
      <c r="H15" s="22" t="str" cm="1">
        <f t="array" ref="H15">_FV(F15,"Match")</f>
        <v/>
      </c>
    </row>
    <row r="16" spans="1:8" x14ac:dyDescent="0.3">
      <c r="A16" t="s">
        <v>5</v>
      </c>
      <c r="B16" t="s">
        <v>6</v>
      </c>
      <c r="C16" t="s">
        <v>7</v>
      </c>
      <c r="D16" t="s">
        <v>8</v>
      </c>
      <c r="E16" t="s">
        <v>23</v>
      </c>
      <c r="F16" t="e" cm="1" vm="15">
        <f t="array" ref="F16">_xldudf_BOARDFLARE_FMATCH(E16,'FS Consolidated Comments'!C$76:C$137,0.13)</f>
        <v>#VALUE!</v>
      </c>
      <c r="G16" cm="1">
        <f t="array" ref="G16">_FV(F16,"Similarity")</f>
        <v>0.13</v>
      </c>
      <c r="H16" s="22" t="str" cm="1">
        <f t="array" ref="H16">_FV(F16,"Match")</f>
        <v>"Overall, the portfolio is well positioned and built for resilience through uncertain markets."</v>
      </c>
    </row>
    <row r="17" spans="1:8" x14ac:dyDescent="0.3">
      <c r="A17" t="s">
        <v>5</v>
      </c>
      <c r="B17" t="s">
        <v>6</v>
      </c>
      <c r="C17" t="s">
        <v>7</v>
      </c>
      <c r="D17" t="s">
        <v>8</v>
      </c>
      <c r="E17" t="s">
        <v>24</v>
      </c>
      <c r="F17" t="e" cm="1" vm="16">
        <f t="array" ref="F17">_xldudf_BOARDFLARE_FMATCH(E17,'FS Consolidated Comments'!C$76:C$137,0.13)</f>
        <v>#VALUE!</v>
      </c>
      <c r="G17" cm="1">
        <f t="array" ref="G17">_FV(F17,"Similarity")</f>
        <v>0</v>
      </c>
      <c r="H17" s="22" t="str" cm="1">
        <f t="array" ref="H17">_FV(F17,"Match")</f>
        <v/>
      </c>
    </row>
    <row r="18" spans="1:8" x14ac:dyDescent="0.3">
      <c r="A18" t="s">
        <v>5</v>
      </c>
      <c r="B18" t="s">
        <v>6</v>
      </c>
      <c r="C18" t="s">
        <v>7</v>
      </c>
      <c r="D18" t="s">
        <v>8</v>
      </c>
      <c r="E18" t="s">
        <v>25</v>
      </c>
      <c r="F18" t="e" cm="1" vm="17">
        <f t="array" ref="F18">_xldudf_BOARDFLARE_FMATCH(E18,'FS Consolidated Comments'!C$76:C$137,0.13)</f>
        <v>#VALUE!</v>
      </c>
      <c r="G18" cm="1">
        <f t="array" ref="G18">_FV(F18,"Similarity")</f>
        <v>0</v>
      </c>
      <c r="H18" s="22" t="str" cm="1">
        <f t="array" ref="H18">_FV(F18,"Match")</f>
        <v/>
      </c>
    </row>
    <row r="19" spans="1:8" x14ac:dyDescent="0.3">
      <c r="A19" t="s">
        <v>5</v>
      </c>
      <c r="B19" t="s">
        <v>6</v>
      </c>
      <c r="C19" t="s">
        <v>7</v>
      </c>
      <c r="D19" t="s">
        <v>8</v>
      </c>
      <c r="E19" t="s">
        <v>26</v>
      </c>
      <c r="F19" t="e" cm="1" vm="18">
        <f t="array" ref="F19">_xldudf_BOARDFLARE_FMATCH(E19,'FS Consolidated Comments'!C$76:C$137,0.13)</f>
        <v>#VALUE!</v>
      </c>
      <c r="G19" cm="1">
        <f t="array" ref="G19">_FV(F19,"Similarity")</f>
        <v>0</v>
      </c>
      <c r="H19" s="22" t="str" cm="1">
        <f t="array" ref="H19">_FV(F19,"Match")</f>
        <v/>
      </c>
    </row>
    <row r="20" spans="1:8" x14ac:dyDescent="0.3">
      <c r="A20" t="s">
        <v>5</v>
      </c>
      <c r="B20" t="s">
        <v>6</v>
      </c>
      <c r="C20" t="s">
        <v>7</v>
      </c>
      <c r="D20" t="s">
        <v>8</v>
      </c>
      <c r="E20" t="s">
        <v>27</v>
      </c>
      <c r="F20" t="e" cm="1" vm="19">
        <f t="array" ref="F20">_xldudf_BOARDFLARE_FMATCH(E20,'FS Consolidated Comments'!C$76:C$137,0.13)</f>
        <v>#VALUE!</v>
      </c>
      <c r="G20" cm="1">
        <f t="array" ref="G20">_FV(F20,"Similarity")</f>
        <v>0</v>
      </c>
      <c r="H20" s="22" t="str" cm="1">
        <f t="array" ref="H20">_FV(F20,"Match")</f>
        <v/>
      </c>
    </row>
    <row r="21" spans="1:8" x14ac:dyDescent="0.3">
      <c r="A21" t="s">
        <v>5</v>
      </c>
      <c r="B21" t="s">
        <v>6</v>
      </c>
      <c r="C21" t="s">
        <v>7</v>
      </c>
      <c r="D21" t="s">
        <v>8</v>
      </c>
      <c r="E21" t="s">
        <v>28</v>
      </c>
      <c r="F21" t="e" cm="1" vm="20">
        <f t="array" ref="F21">_xldudf_BOARDFLARE_FMATCH(E21,'FS Consolidated Comments'!C$76:C$137,0.13)</f>
        <v>#VALUE!</v>
      </c>
      <c r="G21" cm="1">
        <f t="array" ref="G21">_FV(F21,"Similarity")</f>
        <v>0.14000000000000001</v>
      </c>
      <c r="H21" s="22" t="str" cm="1">
        <f t="array" ref="H21">_FV(F21,"Match")</f>
        <v>So higher interest rates have slowed the amortization on certain VFA contracts.</v>
      </c>
    </row>
    <row r="22" spans="1:8" x14ac:dyDescent="0.3">
      <c r="A22" t="s">
        <v>29</v>
      </c>
      <c r="B22" t="s">
        <v>30</v>
      </c>
      <c r="C22" t="s">
        <v>7</v>
      </c>
      <c r="D22" t="s">
        <v>8</v>
      </c>
      <c r="E22" t="s">
        <v>31</v>
      </c>
      <c r="F22" t="e" cm="1" vm="21">
        <f t="array" ref="F22">_xldudf_BOARDFLARE_FMATCH(E22,'FS Consolidated Comments'!C$76:C$137,0.13)</f>
        <v>#VALUE!</v>
      </c>
      <c r="G22" cm="1">
        <f t="array" ref="G22">_FV(F22,"Similarity")</f>
        <v>0</v>
      </c>
      <c r="H22" s="22" t="str" cm="1">
        <f t="array" ref="H22">_FV(F22,"Match")</f>
        <v/>
      </c>
    </row>
    <row r="23" spans="1:8" x14ac:dyDescent="0.3">
      <c r="A23" t="s">
        <v>29</v>
      </c>
      <c r="B23" t="s">
        <v>30</v>
      </c>
      <c r="C23" t="s">
        <v>7</v>
      </c>
      <c r="D23" t="s">
        <v>8</v>
      </c>
      <c r="E23" t="s">
        <v>32</v>
      </c>
      <c r="F23" t="e" cm="1" vm="22">
        <f t="array" ref="F23">_xldudf_BOARDFLARE_FMATCH(E23,'FS Consolidated Comments'!C$76:C$137,0.13)</f>
        <v>#VALUE!</v>
      </c>
      <c r="G23" cm="1">
        <f t="array" ref="G23">_FV(F23,"Similarity")</f>
        <v>0</v>
      </c>
      <c r="H23" s="22" t="str" cm="1">
        <f t="array" ref="H23">_FV(F23,"Match")</f>
        <v/>
      </c>
    </row>
    <row r="24" spans="1:8" x14ac:dyDescent="0.3">
      <c r="A24" t="s">
        <v>29</v>
      </c>
      <c r="B24" t="s">
        <v>30</v>
      </c>
      <c r="C24" t="s">
        <v>7</v>
      </c>
      <c r="D24" t="s">
        <v>8</v>
      </c>
      <c r="E24" t="s">
        <v>33</v>
      </c>
      <c r="F24" t="e" cm="1" vm="23">
        <f t="array" ref="F24">_xldudf_BOARDFLARE_FMATCH(E24,'FS Consolidated Comments'!C$76:C$137,0.13)</f>
        <v>#VALUE!</v>
      </c>
      <c r="G24" cm="1">
        <f t="array" ref="G24">_FV(F24,"Similarity")</f>
        <v>0</v>
      </c>
      <c r="H24" s="22" t="str" cm="1">
        <f t="array" ref="H24">_FV(F24,"Match")</f>
        <v/>
      </c>
    </row>
    <row r="25" spans="1:8" x14ac:dyDescent="0.3">
      <c r="A25" t="s">
        <v>29</v>
      </c>
      <c r="B25" t="s">
        <v>30</v>
      </c>
      <c r="C25" t="s">
        <v>7</v>
      </c>
      <c r="D25" t="s">
        <v>8</v>
      </c>
      <c r="E25" t="s">
        <v>34</v>
      </c>
      <c r="F25" t="e" cm="1" vm="24">
        <f t="array" ref="F25">_xldudf_BOARDFLARE_FMATCH(E25,'FS Consolidated Comments'!C$76:C$137,0.13)</f>
        <v>#VALUE!</v>
      </c>
      <c r="G25" cm="1">
        <f t="array" ref="G25">_FV(F25,"Similarity")</f>
        <v>0.13</v>
      </c>
      <c r="H25" s="22" t="str" cm="1">
        <f t="array" ref="H25">_FV(F25,"Match")</f>
        <v>"Taking a broader view of investments rising interest rates are a long-term positive for MetLife."</v>
      </c>
    </row>
    <row r="26" spans="1:8" x14ac:dyDescent="0.3">
      <c r="A26" t="s">
        <v>29</v>
      </c>
      <c r="B26" t="s">
        <v>30</v>
      </c>
      <c r="C26" t="s">
        <v>7</v>
      </c>
      <c r="D26" t="s">
        <v>8</v>
      </c>
      <c r="E26" t="s">
        <v>35</v>
      </c>
      <c r="F26" t="e" cm="1" vm="25">
        <f t="array" ref="F26">_xldudf_BOARDFLARE_FMATCH(E26,'FS Consolidated Comments'!C$76:C$137,0.13)</f>
        <v>#VALUE!</v>
      </c>
      <c r="G26" cm="1">
        <f t="array" ref="G26">_FV(F26,"Similarity")</f>
        <v>0</v>
      </c>
      <c r="H26" s="22" t="str" cm="1">
        <f t="array" ref="H26">_FV(F26,"Match")</f>
        <v/>
      </c>
    </row>
    <row r="27" spans="1:8" x14ac:dyDescent="0.3">
      <c r="A27" t="s">
        <v>29</v>
      </c>
      <c r="B27" t="s">
        <v>30</v>
      </c>
      <c r="C27" t="s">
        <v>7</v>
      </c>
      <c r="D27" t="s">
        <v>8</v>
      </c>
      <c r="E27" t="s">
        <v>36</v>
      </c>
      <c r="F27" t="e" cm="1" vm="26">
        <f t="array" ref="F27">_xldudf_BOARDFLARE_FMATCH(E27,'FS Consolidated Comments'!C$76:C$137,0.13)</f>
        <v>#VALUE!</v>
      </c>
      <c r="G27" cm="1">
        <f t="array" ref="G27">_FV(F27,"Similarity")</f>
        <v>0.15</v>
      </c>
      <c r="H27" s="22" t="str" cm="1">
        <f t="array" ref="H27">_FV(F27,"Match")</f>
        <v>So higher interest rates have slowed the amortization on certain VFA contracts.</v>
      </c>
    </row>
    <row r="28" spans="1:8" x14ac:dyDescent="0.3">
      <c r="A28" t="s">
        <v>29</v>
      </c>
      <c r="B28" t="s">
        <v>30</v>
      </c>
      <c r="C28" t="s">
        <v>7</v>
      </c>
      <c r="D28" t="s">
        <v>8</v>
      </c>
      <c r="E28" t="s">
        <v>37</v>
      </c>
      <c r="F28" t="e" cm="1" vm="27">
        <f t="array" ref="F28">_xldudf_BOARDFLARE_FMATCH(E28,'FS Consolidated Comments'!C$76:C$137,0.13)</f>
        <v>#VALUE!</v>
      </c>
      <c r="G28" cm="1">
        <f t="array" ref="G28">_FV(F28,"Similarity")</f>
        <v>0.14000000000000001</v>
      </c>
      <c r="H28" s="22" t="str" cm="1">
        <f t="array" ref="H28">_FV(F28,"Match")</f>
        <v>So higher interest rates have slowed the amortization on certain VFA contracts.</v>
      </c>
    </row>
    <row r="29" spans="1:8" x14ac:dyDescent="0.3">
      <c r="A29" t="s">
        <v>29</v>
      </c>
      <c r="B29" t="s">
        <v>30</v>
      </c>
      <c r="C29" t="s">
        <v>7</v>
      </c>
      <c r="D29" t="s">
        <v>8</v>
      </c>
      <c r="E29" t="s">
        <v>38</v>
      </c>
      <c r="F29" t="e" cm="1" vm="28">
        <f t="array" ref="F29">_xldudf_BOARDFLARE_FMATCH(E29,'FS Consolidated Comments'!C$76:C$137,0.13)</f>
        <v>#VALUE!</v>
      </c>
      <c r="G29" cm="1">
        <f t="array" ref="G29">_FV(F29,"Similarity")</f>
        <v>0.35</v>
      </c>
      <c r="H29" s="22" t="str" cm="1">
        <f t="array" ref="H29">_FV(F29,"Match")</f>
        <v>We continue to shift towards higher growth and less market-sensitive products and markets, enhance our customer and adviser experiences and further expand our addressable market.</v>
      </c>
    </row>
    <row r="30" spans="1:8" x14ac:dyDescent="0.3">
      <c r="A30" t="s">
        <v>29</v>
      </c>
      <c r="B30" t="s">
        <v>30</v>
      </c>
      <c r="C30" t="s">
        <v>7</v>
      </c>
      <c r="D30" t="s">
        <v>8</v>
      </c>
      <c r="E30" t="s">
        <v>39</v>
      </c>
      <c r="F30" t="e" cm="1" vm="29">
        <f t="array" ref="F30">_xldudf_BOARDFLARE_FMATCH(E30,'FS Consolidated Comments'!C$76:C$137,0.13)</f>
        <v>#VALUE!</v>
      </c>
      <c r="G30" cm="1">
        <f t="array" ref="G30">_FV(F30,"Similarity")</f>
        <v>0</v>
      </c>
      <c r="H30" s="22" t="str" cm="1">
        <f t="array" ref="H30">_FV(F30,"Match")</f>
        <v/>
      </c>
    </row>
    <row r="31" spans="1:8" x14ac:dyDescent="0.3">
      <c r="A31" t="s">
        <v>29</v>
      </c>
      <c r="B31" t="s">
        <v>30</v>
      </c>
      <c r="C31" t="s">
        <v>7</v>
      </c>
      <c r="D31" t="s">
        <v>8</v>
      </c>
      <c r="E31" t="s">
        <v>40</v>
      </c>
      <c r="F31" t="e" cm="1" vm="30">
        <f t="array" ref="F31">_xldudf_BOARDFLARE_FMATCH(E31,'FS Consolidated Comments'!C$76:C$137,0.13)</f>
        <v>#VALUE!</v>
      </c>
      <c r="G31" cm="1">
        <f t="array" ref="G31">_FV(F31,"Similarity")</f>
        <v>0.13</v>
      </c>
      <c r="H31" s="22" t="str" cm="1">
        <f t="array" ref="H31">_FV(F31,"Match")</f>
        <v>"Our investment process has stood the test of time, successfully guiding us through the global financial crisis."</v>
      </c>
    </row>
    <row r="32" spans="1:8" x14ac:dyDescent="0.3">
      <c r="A32" t="s">
        <v>29</v>
      </c>
      <c r="B32" t="s">
        <v>30</v>
      </c>
      <c r="C32" t="s">
        <v>7</v>
      </c>
      <c r="D32" t="s">
        <v>8</v>
      </c>
      <c r="E32" t="s">
        <v>41</v>
      </c>
      <c r="F32" t="e" cm="1" vm="31">
        <f t="array" ref="F32">_xldudf_BOARDFLARE_FMATCH(E32,'FS Consolidated Comments'!C$76:C$137,0.13)</f>
        <v>#VALUE!</v>
      </c>
      <c r="G32" cm="1">
        <f t="array" ref="G32">_FV(F32,"Similarity")</f>
        <v>0</v>
      </c>
      <c r="H32" s="22" t="str" cm="1">
        <f t="array" ref="H32">_FV(F32,"Match")</f>
        <v/>
      </c>
    </row>
    <row r="33" spans="1:8" x14ac:dyDescent="0.3">
      <c r="A33" t="s">
        <v>29</v>
      </c>
      <c r="B33" t="s">
        <v>30</v>
      </c>
      <c r="C33" t="s">
        <v>7</v>
      </c>
      <c r="D33" t="s">
        <v>8</v>
      </c>
      <c r="E33" t="s">
        <v>42</v>
      </c>
      <c r="F33" t="e" cm="1" vm="32">
        <f t="array" ref="F33">_xldudf_BOARDFLARE_FMATCH(E33,'FS Consolidated Comments'!C$76:C$137,0.13)</f>
        <v>#VALUE!</v>
      </c>
      <c r="G33" cm="1">
        <f t="array" ref="G33">_FV(F33,"Similarity")</f>
        <v>0</v>
      </c>
      <c r="H33" s="22" t="str" cm="1">
        <f t="array" ref="H33">_FV(F33,"Match")</f>
        <v/>
      </c>
    </row>
    <row r="34" spans="1:8" x14ac:dyDescent="0.3">
      <c r="A34" t="s">
        <v>29</v>
      </c>
      <c r="B34" t="s">
        <v>30</v>
      </c>
      <c r="C34" t="s">
        <v>7</v>
      </c>
      <c r="D34" t="s">
        <v>8</v>
      </c>
      <c r="E34" t="s">
        <v>43</v>
      </c>
      <c r="F34" t="e" cm="1" vm="33">
        <f t="array" ref="F34">_xldudf_BOARDFLARE_FMATCH(E34,'FS Consolidated Comments'!C$76:C$137,0.13)</f>
        <v>#VALUE!</v>
      </c>
      <c r="G34" cm="1">
        <f t="array" ref="G34">_FV(F34,"Similarity")</f>
        <v>0</v>
      </c>
      <c r="H34" s="22" t="str" cm="1">
        <f t="array" ref="H34">_FV(F34,"Match")</f>
        <v/>
      </c>
    </row>
    <row r="35" spans="1:8" x14ac:dyDescent="0.3">
      <c r="A35" t="s">
        <v>29</v>
      </c>
      <c r="B35" t="s">
        <v>30</v>
      </c>
      <c r="C35" t="s">
        <v>7</v>
      </c>
      <c r="D35" t="s">
        <v>8</v>
      </c>
      <c r="E35" t="s">
        <v>44</v>
      </c>
      <c r="F35" t="e" cm="1" vm="34">
        <f t="array" ref="F35">_xldudf_BOARDFLARE_FMATCH(E35,'FS Consolidated Comments'!C$76:C$137,0.13)</f>
        <v>#VALUE!</v>
      </c>
      <c r="G35" cm="1">
        <f t="array" ref="G35">_FV(F35,"Similarity")</f>
        <v>0</v>
      </c>
      <c r="H35" s="22" t="str" cm="1">
        <f t="array" ref="H35">_FV(F35,"Match")</f>
        <v/>
      </c>
    </row>
    <row r="36" spans="1:8" x14ac:dyDescent="0.3">
      <c r="A36" t="s">
        <v>29</v>
      </c>
      <c r="B36" t="s">
        <v>30</v>
      </c>
      <c r="C36" t="s">
        <v>7</v>
      </c>
      <c r="D36" t="s">
        <v>8</v>
      </c>
      <c r="E36" t="s">
        <v>45</v>
      </c>
      <c r="F36" t="e" cm="1" vm="35">
        <f t="array" ref="F36">_xldudf_BOARDFLARE_FMATCH(E36,'FS Consolidated Comments'!C$76:C$137,0.13)</f>
        <v>#VALUE!</v>
      </c>
      <c r="G36" cm="1">
        <f t="array" ref="G36">_FV(F36,"Similarity")</f>
        <v>0</v>
      </c>
      <c r="H36" s="22" t="str" cm="1">
        <f t="array" ref="H36">_FV(F36,"Match")</f>
        <v/>
      </c>
    </row>
    <row r="37" spans="1:8" x14ac:dyDescent="0.3">
      <c r="A37" t="s">
        <v>29</v>
      </c>
      <c r="B37" t="s">
        <v>30</v>
      </c>
      <c r="C37" t="s">
        <v>7</v>
      </c>
      <c r="D37" t="s">
        <v>8</v>
      </c>
      <c r="E37" t="s">
        <v>46</v>
      </c>
      <c r="F37" t="e" cm="1" vm="36">
        <f t="array" ref="F37">_xldudf_BOARDFLARE_FMATCH(E37,'FS Consolidated Comments'!C$76:C$137,0.13)</f>
        <v>#VALUE!</v>
      </c>
      <c r="G37" cm="1">
        <f t="array" ref="G37">_FV(F37,"Similarity")</f>
        <v>0</v>
      </c>
      <c r="H37" s="22" t="str" cm="1">
        <f t="array" ref="H37">_FV(F37,"Match")</f>
        <v/>
      </c>
    </row>
    <row r="38" spans="1:8" x14ac:dyDescent="0.3">
      <c r="A38" t="s">
        <v>29</v>
      </c>
      <c r="B38" t="s">
        <v>30</v>
      </c>
      <c r="C38" t="s">
        <v>7</v>
      </c>
      <c r="D38" t="s">
        <v>8</v>
      </c>
      <c r="E38" t="s">
        <v>47</v>
      </c>
      <c r="F38" t="e" cm="1" vm="37">
        <f t="array" ref="F38">_xldudf_BOARDFLARE_FMATCH(E38,'FS Consolidated Comments'!C$76:C$137,0.13)</f>
        <v>#VALUE!</v>
      </c>
      <c r="G38" cm="1">
        <f t="array" ref="G38">_FV(F38,"Similarity")</f>
        <v>0.13</v>
      </c>
      <c r="H38" s="22" t="str" cm="1">
        <f t="array" ref="H38">_FV(F38,"Match")</f>
        <v>"Overall, the portfolio is well positioned and built for resilience through uncertain markets."</v>
      </c>
    </row>
    <row r="39" spans="1:8" x14ac:dyDescent="0.3">
      <c r="A39" t="s">
        <v>29</v>
      </c>
      <c r="B39" t="s">
        <v>30</v>
      </c>
      <c r="C39" t="s">
        <v>7</v>
      </c>
      <c r="D39" t="s">
        <v>8</v>
      </c>
      <c r="E39" t="s">
        <v>48</v>
      </c>
      <c r="F39" t="e" cm="1" vm="38">
        <f t="array" ref="F39">_xldudf_BOARDFLARE_FMATCH(E39,'FS Consolidated Comments'!C$76:C$137,0.13)</f>
        <v>#VALUE!</v>
      </c>
      <c r="G39" cm="1">
        <f t="array" ref="G39">_FV(F39,"Similarity")</f>
        <v>0.13</v>
      </c>
      <c r="H39" s="22" t="str" cm="1">
        <f t="array" ref="H39">_FV(F39,"Match")</f>
        <v>So higher interest rates have slowed the amortization on certain VFA contracts.</v>
      </c>
    </row>
    <row r="40" spans="1:8" x14ac:dyDescent="0.3">
      <c r="A40" t="s">
        <v>29</v>
      </c>
      <c r="B40" t="s">
        <v>30</v>
      </c>
      <c r="C40" t="s">
        <v>7</v>
      </c>
      <c r="D40" t="s">
        <v>8</v>
      </c>
      <c r="E40" t="s">
        <v>49</v>
      </c>
      <c r="F40" t="e" cm="1" vm="39">
        <f t="array" ref="F40">_xldudf_BOARDFLARE_FMATCH(E40,'FS Consolidated Comments'!C$76:C$137,0.13)</f>
        <v>#VALUE!</v>
      </c>
      <c r="G40" cm="1">
        <f t="array" ref="G40">_FV(F40,"Similarity")</f>
        <v>0</v>
      </c>
      <c r="H40" s="22" t="str" cm="1">
        <f t="array" ref="H40">_FV(F40,"Match")</f>
        <v/>
      </c>
    </row>
    <row r="41" spans="1:8" x14ac:dyDescent="0.3">
      <c r="A41" t="s">
        <v>29</v>
      </c>
      <c r="B41" t="s">
        <v>30</v>
      </c>
      <c r="C41" t="s">
        <v>7</v>
      </c>
      <c r="D41" t="s">
        <v>8</v>
      </c>
      <c r="E41" t="s">
        <v>50</v>
      </c>
      <c r="F41" t="e" cm="1" vm="40">
        <f t="array" ref="F41">_xldudf_BOARDFLARE_FMATCH(E41,'FS Consolidated Comments'!C$76:C$137,0.13)</f>
        <v>#VALUE!</v>
      </c>
      <c r="G41" cm="1">
        <f t="array" ref="G41">_FV(F41,"Similarity")</f>
        <v>0</v>
      </c>
      <c r="H41" s="22" t="str" cm="1">
        <f t="array" ref="H41">_FV(F41,"Match")</f>
        <v/>
      </c>
    </row>
    <row r="42" spans="1:8" x14ac:dyDescent="0.3">
      <c r="A42" t="s">
        <v>51</v>
      </c>
      <c r="B42" t="s">
        <v>52</v>
      </c>
      <c r="C42" t="s">
        <v>7</v>
      </c>
      <c r="D42" t="s">
        <v>8</v>
      </c>
      <c r="E42" t="s">
        <v>53</v>
      </c>
      <c r="F42" t="e" cm="1" vm="41">
        <f t="array" ref="F42">_xldudf_BOARDFLARE_FMATCH(E42,'FS Consolidated Comments'!C$76:C$137,0.13)</f>
        <v>#VALUE!</v>
      </c>
      <c r="G42" cm="1">
        <f t="array" ref="G42">_FV(F42,"Similarity")</f>
        <v>0.14000000000000001</v>
      </c>
      <c r="H42" s="22" t="str" cm="1">
        <f t="array" ref="H42">_FV(F42,"Match")</f>
        <v>"we have emerged from times of uncertainty in a stronger position; and I expect now to be no different"</v>
      </c>
    </row>
    <row r="43" spans="1:8" x14ac:dyDescent="0.3">
      <c r="A43" t="s">
        <v>51</v>
      </c>
      <c r="B43" t="s">
        <v>52</v>
      </c>
      <c r="C43" t="s">
        <v>7</v>
      </c>
      <c r="D43" t="s">
        <v>8</v>
      </c>
      <c r="E43" t="s">
        <v>54</v>
      </c>
      <c r="F43" t="e" cm="1" vm="42">
        <f t="array" ref="F43">_xldudf_BOARDFLARE_FMATCH(E43,'FS Consolidated Comments'!C$76:C$137,0.13)</f>
        <v>#VALUE!</v>
      </c>
      <c r="G43" cm="1">
        <f t="array" ref="G43">_FV(F43,"Similarity")</f>
        <v>0</v>
      </c>
      <c r="H43" s="22" t="str" cm="1">
        <f t="array" ref="H43">_FV(F43,"Match")</f>
        <v/>
      </c>
    </row>
    <row r="44" spans="1:8" x14ac:dyDescent="0.3">
      <c r="A44" t="s">
        <v>51</v>
      </c>
      <c r="B44" t="s">
        <v>52</v>
      </c>
      <c r="C44" t="s">
        <v>7</v>
      </c>
      <c r="D44" t="s">
        <v>8</v>
      </c>
      <c r="E44" t="s">
        <v>55</v>
      </c>
      <c r="F44" t="e" cm="1" vm="43">
        <f t="array" ref="F44">_xldudf_BOARDFLARE_FMATCH(E44,'FS Consolidated Comments'!C$76:C$137,0.13)</f>
        <v>#VALUE!</v>
      </c>
      <c r="G44" cm="1">
        <f t="array" ref="G44">_FV(F44,"Similarity")</f>
        <v>0.26</v>
      </c>
      <c r="H44" s="22" t="str" cm="1">
        <f t="array" ref="H44">_FV(F44,"Match")</f>
        <v>"Taking a broader view of investments rising interest rates are a long-term positive for MetLife."</v>
      </c>
    </row>
    <row r="45" spans="1:8" x14ac:dyDescent="0.3">
      <c r="A45" t="s">
        <v>51</v>
      </c>
      <c r="B45" t="s">
        <v>52</v>
      </c>
      <c r="C45" t="s">
        <v>7</v>
      </c>
      <c r="D45" t="s">
        <v>8</v>
      </c>
      <c r="E45" t="s">
        <v>56</v>
      </c>
      <c r="F45" t="e" cm="1" vm="44">
        <f t="array" ref="F45">_xldudf_BOARDFLARE_FMATCH(E45,'FS Consolidated Comments'!C$76:C$137,0.13)</f>
        <v>#VALUE!</v>
      </c>
      <c r="G45" cm="1">
        <f t="array" ref="G45">_FV(F45,"Similarity")</f>
        <v>0.6</v>
      </c>
      <c r="H45" s="22" t="str" cm="1">
        <f t="array" ref="H45">_FV(F45,"Match")</f>
        <v>"Our investment process has stood the test of time, successfully guiding us through the global financial crisis."</v>
      </c>
    </row>
    <row r="46" spans="1:8" x14ac:dyDescent="0.3">
      <c r="A46" t="s">
        <v>51</v>
      </c>
      <c r="B46" t="s">
        <v>52</v>
      </c>
      <c r="C46" t="s">
        <v>7</v>
      </c>
      <c r="D46" t="s">
        <v>8</v>
      </c>
      <c r="E46" t="s">
        <v>57</v>
      </c>
      <c r="F46" t="e" cm="1" vm="45">
        <f t="array" ref="F46">_xldudf_BOARDFLARE_FMATCH(E46,'FS Consolidated Comments'!C$76:C$137,0.13)</f>
        <v>#VALUE!</v>
      </c>
      <c r="G46" cm="1">
        <f t="array" ref="G46">_FV(F46,"Similarity")</f>
        <v>0</v>
      </c>
      <c r="H46" s="22" t="str" cm="1">
        <f t="array" ref="H46">_FV(F46,"Match")</f>
        <v/>
      </c>
    </row>
    <row r="47" spans="1:8" x14ac:dyDescent="0.3">
      <c r="A47" t="s">
        <v>51</v>
      </c>
      <c r="B47" t="s">
        <v>52</v>
      </c>
      <c r="C47" t="s">
        <v>7</v>
      </c>
      <c r="D47" t="s">
        <v>8</v>
      </c>
      <c r="E47" t="s">
        <v>58</v>
      </c>
      <c r="F47" t="e" cm="1" vm="46">
        <f t="array" ref="F47">_xldudf_BOARDFLARE_FMATCH(E47,'FS Consolidated Comments'!C$76:C$137,0.13)</f>
        <v>#VALUE!</v>
      </c>
      <c r="G47" cm="1">
        <f t="array" ref="G47">_FV(F47,"Similarity")</f>
        <v>0.13</v>
      </c>
      <c r="H47" s="22" t="str" cm="1">
        <f t="array" ref="H47">_FV(F47,"Match")</f>
        <v>So higher interest rates have slowed the amortization on certain VFA contracts.</v>
      </c>
    </row>
    <row r="48" spans="1:8" x14ac:dyDescent="0.3">
      <c r="A48" t="s">
        <v>51</v>
      </c>
      <c r="B48" t="s">
        <v>52</v>
      </c>
      <c r="C48" t="s">
        <v>7</v>
      </c>
      <c r="D48" t="s">
        <v>8</v>
      </c>
      <c r="E48" t="s">
        <v>59</v>
      </c>
      <c r="F48" t="e" cm="1" vm="47">
        <f t="array" ref="F48">_xldudf_BOARDFLARE_FMATCH(E48,'FS Consolidated Comments'!C$76:C$137,0.13)</f>
        <v>#VALUE!</v>
      </c>
      <c r="G48" cm="1">
        <f t="array" ref="G48">_FV(F48,"Similarity")</f>
        <v>0.47</v>
      </c>
      <c r="H48" s="22" t="str" cm="1">
        <f t="array" ref="H48">_FV(F48,"Match")</f>
        <v>"Lower interest rates in the quarter drove an MRB loss. This loss was partially offset by derivative gains relating to lower interest rates."</v>
      </c>
    </row>
    <row r="49" spans="1:8" x14ac:dyDescent="0.3">
      <c r="A49" t="s">
        <v>51</v>
      </c>
      <c r="B49" t="s">
        <v>52</v>
      </c>
      <c r="C49" t="s">
        <v>7</v>
      </c>
      <c r="D49" t="s">
        <v>8</v>
      </c>
      <c r="E49" t="s">
        <v>60</v>
      </c>
      <c r="F49" t="e" cm="1" vm="48">
        <f t="array" ref="F49">_xldudf_BOARDFLARE_FMATCH(E49,'FS Consolidated Comments'!C$76:C$137,0.13)</f>
        <v>#VALUE!</v>
      </c>
      <c r="G49" cm="1">
        <f t="array" ref="G49">_FV(F49,"Similarity")</f>
        <v>0.18</v>
      </c>
      <c r="H49" s="22" t="str" cm="1">
        <f t="array" ref="H49">_FV(F49,"Match")</f>
        <v>"As we have noted before, Group Life's mortality ratio tends to be seasonally highest in the first quarter. The drivers were excess mortality due to claims resulting from the year-end flu spike and higher severity"</v>
      </c>
    </row>
    <row r="50" spans="1:8" x14ac:dyDescent="0.3">
      <c r="A50" t="s">
        <v>51</v>
      </c>
      <c r="B50" t="s">
        <v>52</v>
      </c>
      <c r="C50" t="s">
        <v>7</v>
      </c>
      <c r="D50" t="s">
        <v>8</v>
      </c>
      <c r="E50" t="s">
        <v>61</v>
      </c>
      <c r="F50" t="e" cm="1" vm="49">
        <f t="array" ref="F50">_xldudf_BOARDFLARE_FMATCH(E50,'FS Consolidated Comments'!C$76:C$137,0.13)</f>
        <v>#VALUE!</v>
      </c>
      <c r="G50" cm="1">
        <f t="array" ref="G50">_FV(F50,"Similarity")</f>
        <v>0</v>
      </c>
      <c r="H50" s="22" t="str" cm="1">
        <f t="array" ref="H50">_FV(F50,"Match")</f>
        <v/>
      </c>
    </row>
    <row r="51" spans="1:8" x14ac:dyDescent="0.3">
      <c r="A51" t="s">
        <v>51</v>
      </c>
      <c r="B51" t="s">
        <v>52</v>
      </c>
      <c r="C51" t="s">
        <v>7</v>
      </c>
      <c r="D51" t="s">
        <v>8</v>
      </c>
      <c r="E51" t="s">
        <v>62</v>
      </c>
      <c r="F51" t="e" cm="1" vm="50">
        <f t="array" ref="F51">_xldudf_BOARDFLARE_FMATCH(E51,'FS Consolidated Comments'!C$76:C$137,0.13)</f>
        <v>#VALUE!</v>
      </c>
      <c r="G51" cm="1">
        <f t="array" ref="G51">_FV(F51,"Similarity")</f>
        <v>0</v>
      </c>
      <c r="H51" s="22" t="str" cm="1">
        <f t="array" ref="H51">_FV(F51,"Match")</f>
        <v/>
      </c>
    </row>
    <row r="52" spans="1:8" x14ac:dyDescent="0.3">
      <c r="A52" t="s">
        <v>51</v>
      </c>
      <c r="B52" t="s">
        <v>52</v>
      </c>
      <c r="C52" t="s">
        <v>7</v>
      </c>
      <c r="D52" t="s">
        <v>8</v>
      </c>
      <c r="E52" t="s">
        <v>63</v>
      </c>
      <c r="F52" t="e" cm="1" vm="51">
        <f t="array" ref="F52">_xldudf_BOARDFLARE_FMATCH(E52,'FS Consolidated Comments'!C$76:C$137,0.13)</f>
        <v>#VALUE!</v>
      </c>
      <c r="G52" cm="1">
        <f t="array" ref="G52">_FV(F52,"Similarity")</f>
        <v>0.43</v>
      </c>
      <c r="H52" s="22" t="str" cm="1">
        <f t="array" ref="H52">_FV(F52,"Match")</f>
        <v>"In this quarter, our global new money yield reached its highest level in more than a decade at $5.82 \%, 123$ basis points higher than the roll-off yield.</v>
      </c>
    </row>
    <row r="53" spans="1:8" x14ac:dyDescent="0.3">
      <c r="A53" t="s">
        <v>51</v>
      </c>
      <c r="B53" t="s">
        <v>52</v>
      </c>
      <c r="C53" t="s">
        <v>7</v>
      </c>
      <c r="D53" t="s">
        <v>8</v>
      </c>
      <c r="E53" t="s">
        <v>64</v>
      </c>
      <c r="F53" t="e" cm="1" vm="52">
        <f t="array" ref="F53">_xldudf_BOARDFLARE_FMATCH(E53,'FS Consolidated Comments'!C$76:C$137,0.13)</f>
        <v>#VALUE!</v>
      </c>
      <c r="G53" cm="1">
        <f t="array" ref="G53">_FV(F53,"Similarity")</f>
        <v>0.61</v>
      </c>
      <c r="H53" s="22" t="str" cm="1">
        <f t="array" ref="H53">_FV(F53,"Match")</f>
        <v>"Overall, the portfolio is well positioned and built for resilience through uncertain markets."</v>
      </c>
    </row>
    <row r="54" spans="1:8" x14ac:dyDescent="0.3">
      <c r="A54" t="s">
        <v>51</v>
      </c>
      <c r="B54" t="s">
        <v>52</v>
      </c>
      <c r="C54" t="s">
        <v>7</v>
      </c>
      <c r="D54" t="s">
        <v>8</v>
      </c>
      <c r="E54" t="s">
        <v>65</v>
      </c>
      <c r="F54" t="e" cm="1" vm="53">
        <f t="array" ref="F54">_xldudf_BOARDFLARE_FMATCH(E54,'FS Consolidated Comments'!C$76:C$137,0.13)</f>
        <v>#VALUE!</v>
      </c>
      <c r="G54" cm="1">
        <f t="array" ref="G54">_FV(F54,"Similarity")</f>
        <v>0.5</v>
      </c>
      <c r="H54" s="22" t="str" cm="1">
        <f t="array" ref="H54">_FV(F54,"Match")</f>
        <v>"The commercial mortgage loan allowance for credit loss stands at $319 million, including the roughly $100 million increase in Q1 of '23, and considers the current environment as well as the risk around the economic outlook."</v>
      </c>
    </row>
    <row r="55" spans="1:8" x14ac:dyDescent="0.3">
      <c r="A55" t="s">
        <v>51</v>
      </c>
      <c r="B55" t="s">
        <v>52</v>
      </c>
      <c r="C55" t="s">
        <v>7</v>
      </c>
      <c r="D55" t="s">
        <v>8</v>
      </c>
      <c r="E55" t="s">
        <v>66</v>
      </c>
      <c r="F55" t="e" cm="1" vm="54">
        <f t="array" ref="F55">_xldudf_BOARDFLARE_FMATCH(E55,'FS Consolidated Comments'!C$76:C$137,0.13)</f>
        <v>#VALUE!</v>
      </c>
      <c r="G55" cm="1">
        <f t="array" ref="G55">_FV(F55,"Similarity")</f>
        <v>0.13</v>
      </c>
      <c r="H55" s="22" t="str" cm="1">
        <f t="array" ref="H55">_FV(F55,"Match")</f>
        <v>"Overall, the portfolio is well positioned and built for resilience through uncertain markets."</v>
      </c>
    </row>
    <row r="56" spans="1:8" x14ac:dyDescent="0.3">
      <c r="A56" t="s">
        <v>51</v>
      </c>
      <c r="B56" t="s">
        <v>52</v>
      </c>
      <c r="C56" t="s">
        <v>7</v>
      </c>
      <c r="D56" t="s">
        <v>8</v>
      </c>
      <c r="E56" t="s">
        <v>67</v>
      </c>
      <c r="F56" t="e" cm="1" vm="55">
        <f t="array" ref="F56">_xldudf_BOARDFLARE_FMATCH(E56,'FS Consolidated Comments'!C$76:C$137,0.13)</f>
        <v>#VALUE!</v>
      </c>
      <c r="G56" cm="1">
        <f t="array" ref="G56">_FV(F56,"Similarity")</f>
        <v>0</v>
      </c>
      <c r="H56" s="22" t="str" cm="1">
        <f t="array" ref="H56">_FV(F56,"Match")</f>
        <v/>
      </c>
    </row>
    <row r="57" spans="1:8" x14ac:dyDescent="0.3">
      <c r="A57" t="s">
        <v>51</v>
      </c>
      <c r="B57" t="s">
        <v>52</v>
      </c>
      <c r="C57" t="s">
        <v>7</v>
      </c>
      <c r="D57" t="s">
        <v>8</v>
      </c>
      <c r="E57" t="s">
        <v>68</v>
      </c>
      <c r="F57" t="e" cm="1" vm="56">
        <f t="array" ref="F57">_xldudf_BOARDFLARE_FMATCH(E57,'FS Consolidated Comments'!C$76:C$137,0.13)</f>
        <v>#VALUE!</v>
      </c>
      <c r="G57" cm="1">
        <f t="array" ref="G57">_FV(F57,"Similarity")</f>
        <v>0.14000000000000001</v>
      </c>
      <c r="H57" s="22" t="str" cm="1">
        <f t="array" ref="H57">_FV(F57,"Match")</f>
        <v>So higher interest rates have slowed the amortization on certain VFA contracts.</v>
      </c>
    </row>
    <row r="58" spans="1:8" x14ac:dyDescent="0.3">
      <c r="A58" t="s">
        <v>51</v>
      </c>
      <c r="B58" t="s">
        <v>52</v>
      </c>
      <c r="C58" t="s">
        <v>7</v>
      </c>
      <c r="D58" t="s">
        <v>8</v>
      </c>
      <c r="E58" t="s">
        <v>69</v>
      </c>
      <c r="F58" t="e" cm="1" vm="57">
        <f t="array" ref="F58">_xldudf_BOARDFLARE_FMATCH(E58,'FS Consolidated Comments'!C$76:C$137,0.13)</f>
        <v>#VALUE!</v>
      </c>
      <c r="G58" cm="1">
        <f t="array" ref="G58">_FV(F58,"Similarity")</f>
        <v>0</v>
      </c>
      <c r="H58" s="22" t="str" cm="1">
        <f t="array" ref="H58">_FV(F58,"Match")</f>
        <v/>
      </c>
    </row>
    <row r="59" spans="1:8" x14ac:dyDescent="0.3">
      <c r="A59" t="s">
        <v>51</v>
      </c>
      <c r="B59" t="s">
        <v>52</v>
      </c>
      <c r="C59" t="s">
        <v>7</v>
      </c>
      <c r="D59" t="s">
        <v>8</v>
      </c>
      <c r="E59" t="s">
        <v>70</v>
      </c>
      <c r="F59" t="e" cm="1" vm="58">
        <f t="array" ref="F59">_xldudf_BOARDFLARE_FMATCH(E59,'FS Consolidated Comments'!C$76:C$137,0.13)</f>
        <v>#VALUE!</v>
      </c>
      <c r="G59" cm="1">
        <f t="array" ref="G59">_FV(F59,"Similarity")</f>
        <v>0</v>
      </c>
      <c r="H59" s="22" t="str" cm="1">
        <f t="array" ref="H59">_FV(F59,"Match")</f>
        <v/>
      </c>
    </row>
    <row r="60" spans="1:8" x14ac:dyDescent="0.3">
      <c r="A60" t="s">
        <v>51</v>
      </c>
      <c r="B60" t="s">
        <v>52</v>
      </c>
      <c r="C60" t="s">
        <v>7</v>
      </c>
      <c r="D60" t="s">
        <v>8</v>
      </c>
      <c r="E60" t="s">
        <v>71</v>
      </c>
      <c r="F60" t="e" cm="1" vm="59">
        <f t="array" ref="F60">_xldudf_BOARDFLARE_FMATCH(E60,'FS Consolidated Comments'!C$76:C$137,0.13)</f>
        <v>#VALUE!</v>
      </c>
      <c r="G60" cm="1">
        <f t="array" ref="G60">_FV(F60,"Similarity")</f>
        <v>0</v>
      </c>
      <c r="H60" s="22" t="str" cm="1">
        <f t="array" ref="H60">_FV(F60,"Match")</f>
        <v/>
      </c>
    </row>
    <row r="61" spans="1:8" x14ac:dyDescent="0.3">
      <c r="A61" t="s">
        <v>51</v>
      </c>
      <c r="B61" t="s">
        <v>52</v>
      </c>
      <c r="C61" t="s">
        <v>7</v>
      </c>
      <c r="D61" t="s">
        <v>8</v>
      </c>
      <c r="E61" t="s">
        <v>72</v>
      </c>
      <c r="F61" t="e" cm="1" vm="60">
        <f t="array" ref="F61">_xldudf_BOARDFLARE_FMATCH(E61,'FS Consolidated Comments'!C$76:C$137,0.13)</f>
        <v>#VALUE!</v>
      </c>
      <c r="G61" cm="1">
        <f t="array" ref="G61">_FV(F61,"Similarity")</f>
        <v>0.52</v>
      </c>
      <c r="H61" s="22" t="str" cm="1">
        <f t="array" ref="H61">_FV(F61,"Match")</f>
        <v>"While market fluctuations are expected to continue, MetLife remains in a position of strength given our balance sheet, investment portfolio, free cash flow generation and the diversification of our market-leading businesses."</v>
      </c>
    </row>
    <row r="62" spans="1:8" x14ac:dyDescent="0.3">
      <c r="A62" t="s">
        <v>73</v>
      </c>
      <c r="B62" t="s">
        <v>74</v>
      </c>
      <c r="C62" t="s">
        <v>7</v>
      </c>
      <c r="D62" t="s">
        <v>8</v>
      </c>
      <c r="E62" t="s">
        <v>75</v>
      </c>
      <c r="F62" t="e" cm="1" vm="61">
        <f t="array" ref="F62">_xldudf_BOARDFLARE_FMATCH(E62,'FS Consolidated Comments'!C$76:C$137,0.13)</f>
        <v>#VALUE!</v>
      </c>
      <c r="G62" cm="1">
        <f t="array" ref="G62">_FV(F62,"Similarity")</f>
        <v>0.37</v>
      </c>
      <c r="H62" s="22" t="str" cm="1">
        <f t="array" ref="H62">_FV(F62,"Match")</f>
        <v>"Throughout 2022, we delivered solid core earnings and stable growth in adjusted book value per share despite a challenging market and operating environment."</v>
      </c>
    </row>
    <row r="63" spans="1:8" x14ac:dyDescent="0.3">
      <c r="A63" t="s">
        <v>73</v>
      </c>
      <c r="B63" t="s">
        <v>74</v>
      </c>
      <c r="C63" t="s">
        <v>7</v>
      </c>
      <c r="D63" t="s">
        <v>8</v>
      </c>
      <c r="E63" t="s">
        <v>76</v>
      </c>
      <c r="F63" t="e" cm="1" vm="62">
        <f t="array" ref="F63">_xldudf_BOARDFLARE_FMATCH(E63,'FS Consolidated Comments'!C$76:C$137,0.13)</f>
        <v>#VALUE!</v>
      </c>
      <c r="G63" cm="1">
        <f t="array" ref="G63">_FV(F63,"Similarity")</f>
        <v>0.15</v>
      </c>
      <c r="H63" s="22" t="str" cm="1">
        <f t="array" ref="H63">_FV(F63,"Match")</f>
        <v>So higher interest rates have slowed the amortization on certain VFA contracts.</v>
      </c>
    </row>
    <row r="64" spans="1:8" x14ac:dyDescent="0.3">
      <c r="A64" t="s">
        <v>73</v>
      </c>
      <c r="B64" t="s">
        <v>74</v>
      </c>
      <c r="C64" t="s">
        <v>7</v>
      </c>
      <c r="D64" t="s">
        <v>8</v>
      </c>
      <c r="E64" t="s">
        <v>77</v>
      </c>
      <c r="F64" t="e" cm="1" vm="63">
        <f t="array" ref="F64">_xldudf_BOARDFLARE_FMATCH(E64,'FS Consolidated Comments'!C$76:C$137,0.13)</f>
        <v>#VALUE!</v>
      </c>
      <c r="G64" cm="1">
        <f t="array" ref="G64">_FV(F64,"Similarity")</f>
        <v>0.48</v>
      </c>
      <c r="H64" s="22" t="str" cm="1">
        <f t="array" ref="H64">_FV(F64,"Match")</f>
        <v>"The insurance experience losses recognized in core earnings reflected the current period impact of the elevated mortality in 2022 due to the Omicron wave of the pandemic as well as the impact of Hurricane Ian on our property and casualty reinsurance business in the third quarter."</v>
      </c>
    </row>
    <row r="65" spans="1:8" x14ac:dyDescent="0.3">
      <c r="A65" t="s">
        <v>73</v>
      </c>
      <c r="B65" t="s">
        <v>74</v>
      </c>
      <c r="C65" t="s">
        <v>7</v>
      </c>
      <c r="D65" t="s">
        <v>8</v>
      </c>
      <c r="E65" t="s">
        <v>78</v>
      </c>
      <c r="F65" t="e" cm="1" vm="64">
        <f t="array" ref="F65">_xldudf_BOARDFLARE_FMATCH(E65,'FS Consolidated Comments'!C$76:C$137,0.13)</f>
        <v>#VALUE!</v>
      </c>
      <c r="G65" cm="1">
        <f t="array" ref="G65">_FV(F65,"Similarity")</f>
        <v>0</v>
      </c>
      <c r="H65" s="22" t="str" cm="1">
        <f t="array" ref="H65">_FV(F65,"Match")</f>
        <v/>
      </c>
    </row>
    <row r="66" spans="1:8" x14ac:dyDescent="0.3">
      <c r="A66" t="s">
        <v>73</v>
      </c>
      <c r="B66" t="s">
        <v>74</v>
      </c>
      <c r="C66" t="s">
        <v>7</v>
      </c>
      <c r="D66" t="s">
        <v>8</v>
      </c>
      <c r="E66" t="s">
        <v>79</v>
      </c>
      <c r="F66" t="e" cm="1" vm="65">
        <f t="array" ref="F66">_xldudf_BOARDFLARE_FMATCH(E66,'FS Consolidated Comments'!C$76:C$137,0.13)</f>
        <v>#VALUE!</v>
      </c>
      <c r="G66" cm="1">
        <f t="array" ref="G66">_FV(F66,"Similarity")</f>
        <v>0</v>
      </c>
      <c r="H66" s="22" t="str" cm="1">
        <f t="array" ref="H66">_FV(F66,"Match")</f>
        <v/>
      </c>
    </row>
    <row r="67" spans="1:8" x14ac:dyDescent="0.3">
      <c r="A67" t="s">
        <v>73</v>
      </c>
      <c r="B67" t="s">
        <v>74</v>
      </c>
      <c r="C67" t="s">
        <v>7</v>
      </c>
      <c r="D67" t="s">
        <v>8</v>
      </c>
      <c r="E67" t="s">
        <v>80</v>
      </c>
      <c r="F67" t="e" cm="1" vm="66">
        <f t="array" ref="F67">_xldudf_BOARDFLARE_FMATCH(E67,'FS Consolidated Comments'!C$76:C$137,0.13)</f>
        <v>#VALUE!</v>
      </c>
      <c r="G67" cm="1">
        <f t="array" ref="G67">_FV(F67,"Similarity")</f>
        <v>0</v>
      </c>
      <c r="H67" s="22" t="str" cm="1">
        <f t="array" ref="H67">_FV(F67,"Match")</f>
        <v/>
      </c>
    </row>
    <row r="68" spans="1:8" x14ac:dyDescent="0.3">
      <c r="A68" t="s">
        <v>73</v>
      </c>
      <c r="B68" t="s">
        <v>74</v>
      </c>
      <c r="C68" t="s">
        <v>7</v>
      </c>
      <c r="D68" t="s">
        <v>8</v>
      </c>
      <c r="E68" t="s">
        <v>81</v>
      </c>
      <c r="F68" t="e" cm="1" vm="67">
        <f t="array" ref="F68">_xldudf_BOARDFLARE_FMATCH(E68,'FS Consolidated Comments'!C$76:C$137,0.13)</f>
        <v>#VALUE!</v>
      </c>
      <c r="G68" cm="1">
        <f t="array" ref="G68">_FV(F68,"Similarity")</f>
        <v>0</v>
      </c>
      <c r="H68" s="22" t="str" cm="1">
        <f t="array" ref="H68">_FV(F68,"Match")</f>
        <v/>
      </c>
    </row>
    <row r="69" spans="1:8" x14ac:dyDescent="0.3">
      <c r="A69" t="s">
        <v>73</v>
      </c>
      <c r="B69" t="s">
        <v>74</v>
      </c>
      <c r="C69" t="s">
        <v>7</v>
      </c>
      <c r="D69" t="s">
        <v>8</v>
      </c>
      <c r="E69" t="s">
        <v>82</v>
      </c>
      <c r="F69" t="e" cm="1" vm="68">
        <f t="array" ref="F69">_xldudf_BOARDFLARE_FMATCH(E69,'FS Consolidated Comments'!C$76:C$137,0.13)</f>
        <v>#VALUE!</v>
      </c>
      <c r="G69" cm="1">
        <f t="array" ref="G69">_FV(F69,"Similarity")</f>
        <v>0.49</v>
      </c>
      <c r="H69" s="22" t="str" cm="1">
        <f t="array" ref="H69">_FV(F69,"Match")</f>
        <v>"Despite that, we delivered 11% growth in our core EPS to $0.79 per common share, reflecting strong core earnings of $1.5 billion and the impact of our share buyback program over the past year, which is supported by our strong capital position."</v>
      </c>
    </row>
    <row r="70" spans="1:8" x14ac:dyDescent="0.3">
      <c r="A70" t="s">
        <v>73</v>
      </c>
      <c r="B70" t="s">
        <v>74</v>
      </c>
      <c r="C70" t="s">
        <v>7</v>
      </c>
      <c r="D70" t="s">
        <v>8</v>
      </c>
      <c r="E70" t="s">
        <v>83</v>
      </c>
      <c r="F70" t="e" cm="1" vm="69">
        <f t="array" ref="F70">_xldudf_BOARDFLARE_FMATCH(E70,'FS Consolidated Comments'!C$76:C$137,0.13)</f>
        <v>#VALUE!</v>
      </c>
      <c r="G70" cm="1">
        <f t="array" ref="G70">_FV(F70,"Similarity")</f>
        <v>0.15</v>
      </c>
      <c r="H70" s="22" t="str" cm="1">
        <f t="array" ref="H70">_FV(F70,"Match")</f>
        <v>So higher interest rates have slowed the amortization on certain VFA contracts.</v>
      </c>
    </row>
    <row r="71" spans="1:8" x14ac:dyDescent="0.3">
      <c r="A71" t="s">
        <v>73</v>
      </c>
      <c r="B71" t="s">
        <v>74</v>
      </c>
      <c r="C71" t="s">
        <v>7</v>
      </c>
      <c r="D71" t="s">
        <v>8</v>
      </c>
      <c r="E71" t="s">
        <v>84</v>
      </c>
      <c r="F71" t="e" cm="1" vm="70">
        <f t="array" ref="F71">_xldudf_BOARDFLARE_FMATCH(E71,'FS Consolidated Comments'!C$76:C$137,0.13)</f>
        <v>#VALUE!</v>
      </c>
      <c r="G71" cm="1">
        <f t="array" ref="G71">_FV(F71,"Similarity")</f>
        <v>0.55000000000000004</v>
      </c>
      <c r="H71" s="22" t="str" cm="1">
        <f t="array" ref="H71">_FV(F71,"Match")</f>
        <v>"The elevated mortality experience from COVID-19 impacted our core earnings in CSM differently in 2022, particularly in our U.S. segment results."</v>
      </c>
    </row>
    <row r="72" spans="1:8" x14ac:dyDescent="0.3">
      <c r="A72" t="s">
        <v>73</v>
      </c>
      <c r="B72" t="s">
        <v>74</v>
      </c>
      <c r="C72" t="s">
        <v>7</v>
      </c>
      <c r="D72" t="s">
        <v>8</v>
      </c>
      <c r="E72" t="s">
        <v>85</v>
      </c>
      <c r="F72" t="e" cm="1" vm="71">
        <f t="array" ref="F72">_xldudf_BOARDFLARE_FMATCH(E72,'FS Consolidated Comments'!C$76:C$137,0.13)</f>
        <v>#VALUE!</v>
      </c>
      <c r="G72" cm="1">
        <f t="array" ref="G72">_FV(F72,"Similarity")</f>
        <v>0.32</v>
      </c>
      <c r="H72" s="22" t="str" cm="1">
        <f t="array" ref="H72">_FV(F72,"Match")</f>
        <v>"The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v>
      </c>
    </row>
    <row r="73" spans="1:8" x14ac:dyDescent="0.3">
      <c r="A73" t="s">
        <v>73</v>
      </c>
      <c r="B73" t="s">
        <v>74</v>
      </c>
      <c r="C73" t="s">
        <v>7</v>
      </c>
      <c r="D73" t="s">
        <v>8</v>
      </c>
      <c r="E73" t="s">
        <v>86</v>
      </c>
      <c r="F73" t="e" cm="1" vm="72">
        <f t="array" ref="F73">_xldudf_BOARDFLARE_FMATCH(E73,'FS Consolidated Comments'!C$76:C$137,0.13)</f>
        <v>#VALUE!</v>
      </c>
      <c r="G73" cm="1">
        <f t="array" ref="G73">_FV(F73,"Similarity")</f>
        <v>0</v>
      </c>
      <c r="H73" s="22" t="str" cm="1">
        <f t="array" ref="H73">_FV(F73,"Match")</f>
        <v/>
      </c>
    </row>
    <row r="74" spans="1:8" x14ac:dyDescent="0.3">
      <c r="A74" t="s">
        <v>73</v>
      </c>
      <c r="B74" t="s">
        <v>74</v>
      </c>
      <c r="C74" t="s">
        <v>7</v>
      </c>
      <c r="D74" t="s">
        <v>8</v>
      </c>
      <c r="E74" t="s">
        <v>87</v>
      </c>
      <c r="F74" t="e" cm="1" vm="73">
        <f t="array" ref="F74">_xldudf_BOARDFLARE_FMATCH(E74,'FS Consolidated Comments'!C$76:C$137,0.13)</f>
        <v>#VALUE!</v>
      </c>
      <c r="G74" cm="1">
        <f t="array" ref="G74">_FV(F74,"Similarity")</f>
        <v>0</v>
      </c>
      <c r="H74" s="22" t="str" cm="1">
        <f t="array" ref="H74">_FV(F74,"Match")</f>
        <v/>
      </c>
    </row>
    <row r="75" spans="1:8" x14ac:dyDescent="0.3">
      <c r="A75" t="s">
        <v>73</v>
      </c>
      <c r="B75" t="s">
        <v>74</v>
      </c>
      <c r="C75" t="s">
        <v>7</v>
      </c>
      <c r="D75" t="s">
        <v>8</v>
      </c>
      <c r="E75" t="s">
        <v>88</v>
      </c>
      <c r="F75" t="e" cm="1" vm="74">
        <f t="array" ref="F75">_xldudf_BOARDFLARE_FMATCH(E75,'FS Consolidated Comments'!C$76:C$137,0.13)</f>
        <v>#VALUE!</v>
      </c>
      <c r="G75" cm="1">
        <f t="array" ref="G75">_FV(F75,"Similarity")</f>
        <v>0</v>
      </c>
      <c r="H75" s="22" t="str" cm="1">
        <f t="array" ref="H75">_FV(F75,"Match")</f>
        <v/>
      </c>
    </row>
    <row r="76" spans="1:8" x14ac:dyDescent="0.3">
      <c r="A76" t="s">
        <v>73</v>
      </c>
      <c r="B76" t="s">
        <v>74</v>
      </c>
      <c r="C76" t="s">
        <v>7</v>
      </c>
      <c r="D76" t="s">
        <v>8</v>
      </c>
      <c r="E76" t="s">
        <v>89</v>
      </c>
      <c r="F76" t="e" cm="1" vm="75">
        <f t="array" ref="F76">_xldudf_BOARDFLARE_FMATCH(E76,'FS Consolidated Comments'!C$76:C$137,0.13)</f>
        <v>#VALUE!</v>
      </c>
      <c r="G76" cm="1">
        <f t="array" ref="G76">_FV(F76,"Similarity")</f>
        <v>0</v>
      </c>
      <c r="H76" s="22" t="str" cm="1">
        <f t="array" ref="H76">_FV(F76,"Match")</f>
        <v/>
      </c>
    </row>
    <row r="77" spans="1:8" x14ac:dyDescent="0.3">
      <c r="A77" t="s">
        <v>73</v>
      </c>
      <c r="B77" t="s">
        <v>74</v>
      </c>
      <c r="C77" t="s">
        <v>7</v>
      </c>
      <c r="D77" t="s">
        <v>8</v>
      </c>
      <c r="E77" t="s">
        <v>90</v>
      </c>
      <c r="F77" t="e" cm="1" vm="76">
        <f t="array" ref="F77">_xldudf_BOARDFLARE_FMATCH(E77,'FS Consolidated Comments'!C$76:C$137,0.13)</f>
        <v>#VALUE!</v>
      </c>
      <c r="G77" cm="1">
        <f t="array" ref="G77">_FV(F77,"Similarity")</f>
        <v>0.13</v>
      </c>
      <c r="H77" s="22" t="str" cm="1">
        <f t="array" ref="H77">_FV(F77,"Match")</f>
        <v>"Taking a broader view of investments rising interest rates are a long-term positive for MetLife."</v>
      </c>
    </row>
    <row r="78" spans="1:8" x14ac:dyDescent="0.3">
      <c r="A78" t="s">
        <v>73</v>
      </c>
      <c r="B78" t="s">
        <v>74</v>
      </c>
      <c r="C78" t="s">
        <v>7</v>
      </c>
      <c r="D78" t="s">
        <v>8</v>
      </c>
      <c r="E78" t="s">
        <v>91</v>
      </c>
      <c r="F78" t="e" cm="1" vm="77">
        <f t="array" ref="F78">_xldudf_BOARDFLARE_FMATCH(E78,'FS Consolidated Comments'!C$76:C$137,0.13)</f>
        <v>#VALUE!</v>
      </c>
      <c r="G78" cm="1">
        <f t="array" ref="G78">_FV(F78,"Similarity")</f>
        <v>0</v>
      </c>
      <c r="H78" s="22" t="str" cm="1">
        <f t="array" ref="H78">_FV(F78,"Match")</f>
        <v/>
      </c>
    </row>
    <row r="79" spans="1:8" x14ac:dyDescent="0.3">
      <c r="A79" t="s">
        <v>73</v>
      </c>
      <c r="B79" t="s">
        <v>74</v>
      </c>
      <c r="C79" t="s">
        <v>7</v>
      </c>
      <c r="D79" t="s">
        <v>8</v>
      </c>
      <c r="E79" t="s">
        <v>92</v>
      </c>
      <c r="F79" t="e" cm="1" vm="78">
        <f t="array" ref="F79">_xldudf_BOARDFLARE_FMATCH(E79,'FS Consolidated Comments'!C$76:C$137,0.13)</f>
        <v>#VALUE!</v>
      </c>
      <c r="G79" cm="1">
        <f t="array" ref="G79">_FV(F79,"Similarity")</f>
        <v>0.14000000000000001</v>
      </c>
      <c r="H79" s="22" t="str" cm="1">
        <f t="array" ref="H79">_FV(F79,"Match")</f>
        <v>"Overall, the portfolio is well positioned and built for resilience through uncertain markets."</v>
      </c>
    </row>
    <row r="80" spans="1:8" x14ac:dyDescent="0.3">
      <c r="A80" t="s">
        <v>73</v>
      </c>
      <c r="B80" t="s">
        <v>74</v>
      </c>
      <c r="C80" t="s">
        <v>7</v>
      </c>
      <c r="D80" t="s">
        <v>8</v>
      </c>
      <c r="E80" t="s">
        <v>93</v>
      </c>
      <c r="F80" t="e" cm="1" vm="79">
        <f t="array" ref="F80">_xldudf_BOARDFLARE_FMATCH(E80,'FS Consolidated Comments'!C$76:C$137,0.13)</f>
        <v>#VALUE!</v>
      </c>
      <c r="G80" cm="1">
        <f t="array" ref="G80">_FV(F80,"Similarity")</f>
        <v>0.13</v>
      </c>
      <c r="H80" s="22" t="str" cm="1">
        <f t="array" ref="H80">_FV(F80,"Match")</f>
        <v>"Core earnings in the U.S. increased by 23%, reflecting improved insurance experience, increased expected investment earnings and lower onerous losses on new insurance business."</v>
      </c>
    </row>
    <row r="81" spans="1:8" x14ac:dyDescent="0.3">
      <c r="A81" t="s">
        <v>73</v>
      </c>
      <c r="B81" t="s">
        <v>74</v>
      </c>
      <c r="C81" t="s">
        <v>7</v>
      </c>
      <c r="D81" t="s">
        <v>8</v>
      </c>
      <c r="E81" t="s">
        <v>94</v>
      </c>
      <c r="F81" t="e" cm="1" vm="80">
        <f t="array" ref="F81">_xldudf_BOARDFLARE_FMATCH(E81,'FS Consolidated Comments'!C$76:C$137,0.13)</f>
        <v>#VALUE!</v>
      </c>
      <c r="G81" cm="1">
        <f t="array" ref="G81">_FV(F81,"Similarity")</f>
        <v>0</v>
      </c>
      <c r="H81" s="22" t="str" cm="1">
        <f t="array" ref="H81">_FV(F81,"Match")</f>
        <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F277-E052-481A-98EF-D55123D17573}">
  <dimension ref="A1:I269"/>
  <sheetViews>
    <sheetView workbookViewId="0">
      <selection activeCell="C76" sqref="C76"/>
    </sheetView>
  </sheetViews>
  <sheetFormatPr defaultRowHeight="13.8" x14ac:dyDescent="0.3"/>
  <cols>
    <col min="1" max="1" width="26.77734375" style="6" bestFit="1" customWidth="1"/>
    <col min="2" max="2" width="38" style="6" customWidth="1"/>
    <col min="3" max="3" width="67.109375" style="6" customWidth="1"/>
    <col min="4" max="4" width="9.21875" style="6" customWidth="1"/>
    <col min="5" max="16384" width="8.88671875" style="6"/>
  </cols>
  <sheetData>
    <row r="1" spans="1:9" x14ac:dyDescent="0.3">
      <c r="A1" s="3" t="s">
        <v>1</v>
      </c>
      <c r="B1" s="4" t="s">
        <v>2</v>
      </c>
      <c r="C1" s="3" t="s">
        <v>95</v>
      </c>
      <c r="D1" s="5" t="s">
        <v>96</v>
      </c>
      <c r="E1" s="3" t="s">
        <v>97</v>
      </c>
      <c r="F1" s="3" t="s">
        <v>98</v>
      </c>
      <c r="G1" s="3" t="s">
        <v>99</v>
      </c>
      <c r="H1" s="3"/>
      <c r="I1" s="3"/>
    </row>
    <row r="2" spans="1:9" hidden="1" x14ac:dyDescent="0.3">
      <c r="A2" s="7" t="s">
        <v>100</v>
      </c>
      <c r="B2" s="8" t="s">
        <v>101</v>
      </c>
      <c r="C2" s="9" t="s">
        <v>102</v>
      </c>
      <c r="D2" s="10">
        <v>4</v>
      </c>
      <c r="E2" s="11">
        <f>COUNTIFS('[1]Consolidated Testing(7-10)'!$C:$C,B2,'[1]Consolidated Testing(7-10)'!$G:$G,C2,'[1]Consolidated Testing(7-10)'!$J:$J,1)</f>
        <v>2</v>
      </c>
      <c r="F2" s="11" t="e" cm="1" vm="81">
        <f t="array" aca="1" ref="F2" ca="1">[2]Macro_Commentary_Classification!$C$2:$C$46</f>
        <v>#VALUE!</v>
      </c>
      <c r="G2" s="11"/>
      <c r="H2" s="11"/>
      <c r="I2" s="11"/>
    </row>
    <row r="3" spans="1:9" hidden="1" x14ac:dyDescent="0.3">
      <c r="A3" s="7" t="s">
        <v>100</v>
      </c>
      <c r="B3" s="8" t="s">
        <v>101</v>
      </c>
      <c r="C3" s="9" t="s">
        <v>103</v>
      </c>
      <c r="D3" s="10">
        <v>4</v>
      </c>
      <c r="E3" s="11">
        <f>COUNTIFS('[1]Consolidated Testing(7-10)'!$C:$C,B3,'[1]Consolidated Testing(7-10)'!$G:$G,C3,'[1]Consolidated Testing(7-10)'!$J:$J,1)</f>
        <v>1</v>
      </c>
      <c r="F3" s="11" t="e" cm="1" vm="81">
        <f t="array" aca="1" ref="F3" ca="1">[2]Macro_Commentary_Classification!$C$2:$C$46</f>
        <v>#VALUE!</v>
      </c>
      <c r="G3" s="11"/>
      <c r="H3" s="11"/>
      <c r="I3" s="11"/>
    </row>
    <row r="4" spans="1:9" hidden="1" x14ac:dyDescent="0.3">
      <c r="A4" s="7" t="s">
        <v>100</v>
      </c>
      <c r="B4" s="8" t="s">
        <v>101</v>
      </c>
      <c r="C4" s="9" t="s">
        <v>104</v>
      </c>
      <c r="D4" s="10">
        <v>5</v>
      </c>
      <c r="E4" s="11">
        <f>COUNTIFS('[1]Consolidated Testing(7-10)'!$C:$C,B4,'[1]Consolidated Testing(7-10)'!$G:$G,C4,'[1]Consolidated Testing(7-10)'!$J:$J,1)</f>
        <v>0</v>
      </c>
      <c r="F4" s="11"/>
      <c r="G4" s="11"/>
      <c r="H4" s="11"/>
      <c r="I4" s="11"/>
    </row>
    <row r="5" spans="1:9" hidden="1" x14ac:dyDescent="0.3">
      <c r="A5" s="7" t="s">
        <v>100</v>
      </c>
      <c r="B5" s="8" t="s">
        <v>101</v>
      </c>
      <c r="C5" s="9" t="s">
        <v>105</v>
      </c>
      <c r="D5" s="10">
        <v>6</v>
      </c>
      <c r="E5" s="11">
        <f>COUNTIFS('[1]Consolidated Testing(7-10)'!$C:$C,B5,'[1]Consolidated Testing(7-10)'!$G:$G,C5,'[1]Consolidated Testing(7-10)'!$J:$J,1)</f>
        <v>0</v>
      </c>
      <c r="F5" s="11"/>
      <c r="G5" s="11"/>
      <c r="H5" s="11"/>
      <c r="I5" s="11"/>
    </row>
    <row r="6" spans="1:9" hidden="1" x14ac:dyDescent="0.3">
      <c r="A6" s="7" t="s">
        <v>100</v>
      </c>
      <c r="B6" s="12" t="s">
        <v>7</v>
      </c>
      <c r="C6" s="9" t="s">
        <v>106</v>
      </c>
      <c r="D6" s="10">
        <v>5</v>
      </c>
      <c r="E6" s="11">
        <f>COUNTIFS('[1]Consolidated Testing(7-10)'!$C:$C,B6,'[1]Consolidated Testing(7-10)'!$G:$G,C6,'[1]Consolidated Testing(7-10)'!$J:$J,1)</f>
        <v>1</v>
      </c>
      <c r="F6" s="11" t="e" cm="1" vm="81">
        <f t="array" aca="1" ref="F6" ca="1">[2]Macro_Commentary_Classification!$C$2:$C$46</f>
        <v>#VALUE!</v>
      </c>
      <c r="G6" s="11"/>
      <c r="H6" s="11"/>
      <c r="I6" s="11"/>
    </row>
    <row r="7" spans="1:9" hidden="1" x14ac:dyDescent="0.3">
      <c r="A7" s="7" t="s">
        <v>100</v>
      </c>
      <c r="B7" s="8" t="s">
        <v>101</v>
      </c>
      <c r="C7" s="9" t="s">
        <v>107</v>
      </c>
      <c r="D7" s="10">
        <v>9</v>
      </c>
      <c r="E7" s="11">
        <f>COUNTIFS('[1]Consolidated Testing(7-10)'!$C:$C,B7,'[1]Consolidated Testing(7-10)'!$G:$G,C7,'[1]Consolidated Testing(7-10)'!$J:$J,1)</f>
        <v>1</v>
      </c>
      <c r="F7" s="11" t="e" cm="1" vm="81">
        <f t="array" aca="1" ref="F7" ca="1">[2]Macro_Commentary_Classification!$C$2:$C$46</f>
        <v>#VALUE!</v>
      </c>
      <c r="G7" s="11"/>
      <c r="H7" s="11"/>
      <c r="I7" s="11"/>
    </row>
    <row r="8" spans="1:9" hidden="1" x14ac:dyDescent="0.3">
      <c r="A8" s="7" t="s">
        <v>100</v>
      </c>
      <c r="B8" s="8" t="s">
        <v>101</v>
      </c>
      <c r="C8" s="9" t="s">
        <v>108</v>
      </c>
      <c r="D8" s="10">
        <v>12</v>
      </c>
      <c r="E8" s="11">
        <f>COUNTIFS('[1]Consolidated Testing(7-10)'!$C:$C,B8,'[1]Consolidated Testing(7-10)'!$G:$G,C8,'[1]Consolidated Testing(7-10)'!$J:$J,1)</f>
        <v>0</v>
      </c>
      <c r="F8" s="11"/>
      <c r="G8" s="11"/>
      <c r="H8" s="11"/>
      <c r="I8" s="11"/>
    </row>
    <row r="9" spans="1:9" hidden="1" x14ac:dyDescent="0.3">
      <c r="A9" s="7" t="s">
        <v>100</v>
      </c>
      <c r="B9" s="8" t="s">
        <v>101</v>
      </c>
      <c r="C9" s="9" t="s">
        <v>109</v>
      </c>
      <c r="D9" s="10">
        <v>12</v>
      </c>
      <c r="E9" s="11">
        <f>COUNTIFS('[1]Consolidated Testing(7-10)'!$C:$C,B9,'[1]Consolidated Testing(7-10)'!$G:$G,C9,'[1]Consolidated Testing(7-10)'!$J:$J,1)</f>
        <v>0</v>
      </c>
      <c r="F9" s="11"/>
      <c r="G9" s="11"/>
      <c r="H9" s="11"/>
      <c r="I9" s="11"/>
    </row>
    <row r="10" spans="1:9" hidden="1" x14ac:dyDescent="0.3">
      <c r="A10" s="7" t="s">
        <v>100</v>
      </c>
      <c r="B10" s="8" t="s">
        <v>101</v>
      </c>
      <c r="C10" s="9" t="s">
        <v>110</v>
      </c>
      <c r="D10" s="10">
        <v>13</v>
      </c>
      <c r="E10" s="11">
        <f>COUNTIFS('[1]Consolidated Testing(7-10)'!$C:$C,B10,'[1]Consolidated Testing(7-10)'!$G:$G,C10,'[1]Consolidated Testing(7-10)'!$J:$J,1)</f>
        <v>0</v>
      </c>
      <c r="F10" s="11"/>
      <c r="G10" s="11"/>
      <c r="H10" s="11"/>
      <c r="I10" s="11"/>
    </row>
    <row r="11" spans="1:9" hidden="1" x14ac:dyDescent="0.3">
      <c r="A11" s="7" t="s">
        <v>100</v>
      </c>
      <c r="B11" s="8" t="s">
        <v>111</v>
      </c>
      <c r="C11" s="9" t="s">
        <v>112</v>
      </c>
      <c r="D11" s="10">
        <v>11</v>
      </c>
      <c r="E11" s="11">
        <f>COUNTIFS('[1]Consolidated Testing(7-10)'!$C:$C,B11,'[1]Consolidated Testing(7-10)'!$G:$G,C11,'[1]Consolidated Testing(7-10)'!$J:$J,1)</f>
        <v>2</v>
      </c>
      <c r="F11" s="11" t="e" cm="1" vm="81">
        <f t="array" aca="1" ref="F11" ca="1">[2]Macro_Commentary_Classification!$C$2:$C$46</f>
        <v>#VALUE!</v>
      </c>
      <c r="G11" s="11"/>
      <c r="H11" s="11"/>
      <c r="I11" s="11"/>
    </row>
    <row r="12" spans="1:9" hidden="1" x14ac:dyDescent="0.3">
      <c r="A12" s="7" t="s">
        <v>113</v>
      </c>
      <c r="B12" s="8" t="s">
        <v>101</v>
      </c>
      <c r="C12" s="9" t="s">
        <v>114</v>
      </c>
      <c r="D12" s="13">
        <v>8</v>
      </c>
      <c r="E12" s="11">
        <f>COUNTIFS('[1]Consolidated Testing(7-10)'!$C:$C,B12,'[1]Consolidated Testing(7-10)'!$G:$G,C12,'[1]Consolidated Testing(7-10)'!$J:$J,1)</f>
        <v>0</v>
      </c>
      <c r="F12" s="11"/>
      <c r="G12" s="11"/>
      <c r="H12" s="11"/>
      <c r="I12" s="11"/>
    </row>
    <row r="13" spans="1:9" hidden="1" x14ac:dyDescent="0.3">
      <c r="A13" s="7" t="s">
        <v>113</v>
      </c>
      <c r="B13" s="8" t="s">
        <v>101</v>
      </c>
      <c r="C13" s="9" t="s">
        <v>115</v>
      </c>
      <c r="D13" s="13">
        <v>8</v>
      </c>
      <c r="E13" s="11">
        <f>COUNTIFS('[1]Consolidated Testing(7-10)'!$C:$C,B13,'[1]Consolidated Testing(7-10)'!$G:$G,C13,'[1]Consolidated Testing(7-10)'!$J:$J,1)</f>
        <v>0</v>
      </c>
      <c r="F13" s="11"/>
      <c r="G13" s="11"/>
      <c r="H13" s="11"/>
      <c r="I13" s="11"/>
    </row>
    <row r="14" spans="1:9" hidden="1" x14ac:dyDescent="0.3">
      <c r="A14" s="7" t="s">
        <v>113</v>
      </c>
      <c r="B14" s="8" t="s">
        <v>101</v>
      </c>
      <c r="C14" s="9" t="s">
        <v>116</v>
      </c>
      <c r="D14" s="13">
        <v>10</v>
      </c>
      <c r="E14" s="11">
        <f>COUNTIFS('[1]Consolidated Testing(7-10)'!$C:$C,B14,'[1]Consolidated Testing(7-10)'!$G:$G,C14,'[1]Consolidated Testing(7-10)'!$J:$J,1)</f>
        <v>0</v>
      </c>
      <c r="F14" s="11"/>
      <c r="G14" s="11"/>
      <c r="H14" s="11"/>
      <c r="I14" s="11"/>
    </row>
    <row r="15" spans="1:9" hidden="1" x14ac:dyDescent="0.3">
      <c r="A15" s="7" t="s">
        <v>113</v>
      </c>
      <c r="B15" s="8" t="s">
        <v>101</v>
      </c>
      <c r="C15" s="9" t="s">
        <v>117</v>
      </c>
      <c r="D15" s="13">
        <v>13</v>
      </c>
      <c r="E15" s="11">
        <f>COUNTIFS('[1]Consolidated Testing(7-10)'!$C:$C,B15,'[1]Consolidated Testing(7-10)'!$G:$G,C15,'[1]Consolidated Testing(7-10)'!$J:$J,1)</f>
        <v>0</v>
      </c>
      <c r="F15" s="11"/>
      <c r="G15" s="11"/>
      <c r="H15" s="11"/>
      <c r="I15" s="11"/>
    </row>
    <row r="16" spans="1:9" hidden="1" x14ac:dyDescent="0.3">
      <c r="A16" s="7" t="s">
        <v>113</v>
      </c>
      <c r="B16" s="8" t="s">
        <v>101</v>
      </c>
      <c r="C16" s="9" t="s">
        <v>118</v>
      </c>
      <c r="D16" s="13">
        <v>18</v>
      </c>
      <c r="E16" s="11">
        <f>COUNTIFS('[1]Consolidated Testing(7-10)'!$C:$C,B16,'[1]Consolidated Testing(7-10)'!$G:$G,C16,'[1]Consolidated Testing(7-10)'!$J:$J,1)</f>
        <v>0</v>
      </c>
      <c r="F16" s="11"/>
      <c r="G16" s="11"/>
      <c r="H16" s="11"/>
      <c r="I16" s="11"/>
    </row>
    <row r="17" spans="1:9" hidden="1" x14ac:dyDescent="0.3">
      <c r="A17" s="7" t="s">
        <v>113</v>
      </c>
      <c r="B17" s="8" t="s">
        <v>101</v>
      </c>
      <c r="C17" s="9" t="s">
        <v>119</v>
      </c>
      <c r="D17" s="13">
        <v>9</v>
      </c>
      <c r="E17" s="11">
        <f>COUNTIFS('[1]Consolidated Testing(7-10)'!$C:$C,B17,'[1]Consolidated Testing(7-10)'!$G:$G,C17,'[1]Consolidated Testing(7-10)'!$J:$J,1)</f>
        <v>0</v>
      </c>
      <c r="F17" s="11"/>
      <c r="G17" s="11"/>
      <c r="H17" s="11"/>
      <c r="I17" s="11"/>
    </row>
    <row r="18" spans="1:9" hidden="1" x14ac:dyDescent="0.3">
      <c r="A18" s="7" t="s">
        <v>113</v>
      </c>
      <c r="B18" s="8" t="s">
        <v>101</v>
      </c>
      <c r="C18" s="9" t="s">
        <v>120</v>
      </c>
      <c r="D18" s="13">
        <v>9</v>
      </c>
      <c r="E18" s="11">
        <f>COUNTIFS('[1]Consolidated Testing(7-10)'!$C:$C,B18,'[1]Consolidated Testing(7-10)'!$G:$G,C18,'[1]Consolidated Testing(7-10)'!$J:$J,1)</f>
        <v>0</v>
      </c>
      <c r="F18" s="11"/>
      <c r="G18" s="11"/>
      <c r="H18" s="11"/>
      <c r="I18" s="11"/>
    </row>
    <row r="19" spans="1:9" hidden="1" x14ac:dyDescent="0.3">
      <c r="A19" s="7" t="s">
        <v>121</v>
      </c>
      <c r="B19" s="8" t="s">
        <v>101</v>
      </c>
      <c r="C19" s="9" t="s">
        <v>122</v>
      </c>
      <c r="D19" s="10">
        <v>5</v>
      </c>
      <c r="E19" s="11">
        <f>COUNTIFS('[1]Consolidated Testing(7-10)'!$C:$C,B19,'[1]Consolidated Testing(7-10)'!$G:$G,C19,'[1]Consolidated Testing(7-10)'!$J:$J,1)</f>
        <v>0</v>
      </c>
      <c r="F19" s="11"/>
      <c r="G19" s="11"/>
      <c r="H19" s="11"/>
      <c r="I19" s="11"/>
    </row>
    <row r="20" spans="1:9" hidden="1" x14ac:dyDescent="0.3">
      <c r="A20" s="7" t="s">
        <v>100</v>
      </c>
      <c r="B20" s="8" t="s">
        <v>111</v>
      </c>
      <c r="C20" s="9" t="s">
        <v>123</v>
      </c>
      <c r="D20" s="10">
        <v>4</v>
      </c>
      <c r="E20" s="11">
        <f>COUNTIFS('[1]Consolidated Testing(7-10)'!$C:$C,B20,'[1]Consolidated Testing(7-10)'!$G:$G,C20,'[1]Consolidated Testing(7-10)'!$J:$J,1)</f>
        <v>2</v>
      </c>
      <c r="F20" s="11" t="e" cm="1" vm="81">
        <f t="array" aca="1" ref="F20" ca="1">[2]Macro_Commentary_Classification!$C$2:$C$46</f>
        <v>#VALUE!</v>
      </c>
      <c r="G20" s="11"/>
      <c r="H20" s="11"/>
      <c r="I20" s="11"/>
    </row>
    <row r="21" spans="1:9" hidden="1" x14ac:dyDescent="0.3">
      <c r="A21" s="7" t="s">
        <v>100</v>
      </c>
      <c r="B21" s="8" t="s">
        <v>124</v>
      </c>
      <c r="C21" s="9" t="s">
        <v>125</v>
      </c>
      <c r="D21" s="10">
        <v>5</v>
      </c>
      <c r="E21" s="11">
        <f>COUNTIFS('[1]Consolidated Testing(7-10)'!$C:$C,B21,'[1]Consolidated Testing(7-10)'!$G:$G,C21,'[1]Consolidated Testing(7-10)'!$J:$J,1)</f>
        <v>1</v>
      </c>
      <c r="F21" s="11" t="e" cm="1" vm="81">
        <f t="array" aca="1" ref="F21" ca="1">[2]Macro_Commentary_Classification!$C$2:$C$46</f>
        <v>#VALUE!</v>
      </c>
      <c r="G21" s="11"/>
      <c r="H21" s="11"/>
      <c r="I21" s="11"/>
    </row>
    <row r="22" spans="1:9" hidden="1" x14ac:dyDescent="0.3">
      <c r="A22" s="7" t="s">
        <v>121</v>
      </c>
      <c r="B22" s="8" t="s">
        <v>101</v>
      </c>
      <c r="C22" s="9" t="s">
        <v>126</v>
      </c>
      <c r="D22" s="10">
        <v>5</v>
      </c>
      <c r="E22" s="11">
        <f>COUNTIFS('[1]Consolidated Testing(7-10)'!$C:$C,B22,'[1]Consolidated Testing(7-10)'!$G:$G,C22,'[1]Consolidated Testing(7-10)'!$J:$J,1)</f>
        <v>0</v>
      </c>
      <c r="F22" s="11"/>
      <c r="G22" s="11"/>
      <c r="H22" s="11"/>
      <c r="I22" s="11"/>
    </row>
    <row r="23" spans="1:9" hidden="1" x14ac:dyDescent="0.3">
      <c r="A23" s="7" t="s">
        <v>121</v>
      </c>
      <c r="B23" s="8" t="s">
        <v>101</v>
      </c>
      <c r="C23" s="9" t="s">
        <v>127</v>
      </c>
      <c r="D23" s="10">
        <v>5</v>
      </c>
      <c r="E23" s="11">
        <f>COUNTIFS('[1]Consolidated Testing(7-10)'!$C:$C,B23,'[1]Consolidated Testing(7-10)'!$G:$G,C23,'[1]Consolidated Testing(7-10)'!$J:$J,1)</f>
        <v>0</v>
      </c>
      <c r="F23" s="11"/>
      <c r="G23" s="11"/>
      <c r="H23" s="11"/>
      <c r="I23" s="11"/>
    </row>
    <row r="24" spans="1:9" hidden="1" x14ac:dyDescent="0.3">
      <c r="A24" s="7" t="s">
        <v>100</v>
      </c>
      <c r="B24" s="8" t="s">
        <v>128</v>
      </c>
      <c r="C24" s="9" t="s">
        <v>129</v>
      </c>
      <c r="D24" s="10">
        <v>12</v>
      </c>
      <c r="E24" s="11">
        <f>COUNTIFS('[1]Consolidated Testing(7-10)'!$C:$C,B24,'[1]Consolidated Testing(7-10)'!$G:$G,C24,'[1]Consolidated Testing(7-10)'!$J:$J,1)</f>
        <v>1</v>
      </c>
      <c r="F24" s="11" t="e" cm="1" vm="81">
        <f t="array" aca="1" ref="F24" ca="1">[2]Macro_Commentary_Classification!$C$2:$C$46</f>
        <v>#VALUE!</v>
      </c>
      <c r="G24" s="11"/>
      <c r="H24" s="11"/>
      <c r="I24" s="11"/>
    </row>
    <row r="25" spans="1:9" hidden="1" x14ac:dyDescent="0.3">
      <c r="A25" s="7" t="s">
        <v>100</v>
      </c>
      <c r="B25" s="14" t="s">
        <v>130</v>
      </c>
      <c r="C25" s="9" t="s">
        <v>131</v>
      </c>
      <c r="D25" s="10">
        <v>4</v>
      </c>
      <c r="E25" s="11">
        <f>COUNTIFS('[1]Consolidated Testing(7-10)'!$C:$C,B25,'[1]Consolidated Testing(7-10)'!$G:$G,C25,'[1]Consolidated Testing(7-10)'!$J:$J,1)</f>
        <v>2</v>
      </c>
      <c r="F25" s="11" t="e" cm="1" vm="81">
        <f t="array" aca="1" ref="F25" ca="1">[2]Macro_Commentary_Classification!$C$2:$C$46</f>
        <v>#VALUE!</v>
      </c>
      <c r="G25" s="11"/>
      <c r="H25" s="11"/>
      <c r="I25" s="11"/>
    </row>
    <row r="26" spans="1:9" hidden="1" x14ac:dyDescent="0.3">
      <c r="A26" s="7" t="s">
        <v>121</v>
      </c>
      <c r="B26" s="12" t="s">
        <v>101</v>
      </c>
      <c r="C26" s="9" t="s">
        <v>132</v>
      </c>
      <c r="D26" s="10">
        <v>5</v>
      </c>
      <c r="E26" s="11">
        <f>COUNTIFS('[1]Consolidated Testing(7-10)'!$C:$C,B26,'[1]Consolidated Testing(7-10)'!$G:$G,C26,'[1]Consolidated Testing(7-10)'!$J:$J,1)</f>
        <v>0</v>
      </c>
      <c r="F26" s="11"/>
      <c r="G26" s="11"/>
      <c r="H26" s="11"/>
      <c r="I26" s="11"/>
    </row>
    <row r="27" spans="1:9" hidden="1" x14ac:dyDescent="0.3">
      <c r="A27" s="7" t="s">
        <v>121</v>
      </c>
      <c r="B27" s="12" t="s">
        <v>101</v>
      </c>
      <c r="C27" s="9" t="s">
        <v>133</v>
      </c>
      <c r="D27" s="10">
        <v>5</v>
      </c>
      <c r="E27" s="11">
        <f>COUNTIFS('[1]Consolidated Testing(7-10)'!$C:$C,B27,'[1]Consolidated Testing(7-10)'!$G:$G,C27,'[1]Consolidated Testing(7-10)'!$J:$J,1)</f>
        <v>0</v>
      </c>
      <c r="F27" s="11"/>
      <c r="G27" s="11"/>
      <c r="H27" s="11"/>
      <c r="I27" s="11"/>
    </row>
    <row r="28" spans="1:9" hidden="1" x14ac:dyDescent="0.3">
      <c r="A28" s="7" t="s">
        <v>100</v>
      </c>
      <c r="B28" s="14" t="s">
        <v>130</v>
      </c>
      <c r="C28" s="9" t="s">
        <v>134</v>
      </c>
      <c r="D28" s="10">
        <v>10</v>
      </c>
      <c r="E28" s="11">
        <f>COUNTIFS('[1]Consolidated Testing(7-10)'!$C:$C,B28,'[1]Consolidated Testing(7-10)'!$G:$G,C28,'[1]Consolidated Testing(7-10)'!$J:$J,1)</f>
        <v>1</v>
      </c>
      <c r="F28" s="11" t="e" cm="1" vm="81">
        <f t="array" aca="1" ref="F28" ca="1">[2]Macro_Commentary_Classification!$C$2:$C$46</f>
        <v>#VALUE!</v>
      </c>
      <c r="G28" s="11"/>
      <c r="H28" s="11"/>
      <c r="I28" s="11"/>
    </row>
    <row r="29" spans="1:9" hidden="1" x14ac:dyDescent="0.3">
      <c r="A29" s="7" t="s">
        <v>100</v>
      </c>
      <c r="B29" s="14" t="s">
        <v>130</v>
      </c>
      <c r="C29" s="9" t="s">
        <v>135</v>
      </c>
      <c r="D29" s="10">
        <v>14</v>
      </c>
      <c r="E29" s="11">
        <f>COUNTIFS('[1]Consolidated Testing(7-10)'!$C:$C,B29,'[1]Consolidated Testing(7-10)'!$G:$G,C29,'[1]Consolidated Testing(7-10)'!$J:$J,1)</f>
        <v>1</v>
      </c>
      <c r="F29" s="11" t="e" cm="1" vm="81">
        <f t="array" aca="1" ref="F29" ca="1">[2]Macro_Commentary_Classification!$C$2:$C$46</f>
        <v>#VALUE!</v>
      </c>
      <c r="G29" s="11"/>
      <c r="H29" s="11"/>
      <c r="I29" s="11"/>
    </row>
    <row r="30" spans="1:9" hidden="1" x14ac:dyDescent="0.3">
      <c r="A30" s="7" t="s">
        <v>100</v>
      </c>
      <c r="B30" s="8" t="s">
        <v>136</v>
      </c>
      <c r="C30" s="9" t="s">
        <v>137</v>
      </c>
      <c r="D30" s="10">
        <v>8</v>
      </c>
      <c r="E30" s="11">
        <f>COUNTIFS('[1]Consolidated Testing(7-10)'!$C:$C,B30,'[1]Consolidated Testing(7-10)'!$G:$G,C30,'[1]Consolidated Testing(7-10)'!$J:$J,1)</f>
        <v>1</v>
      </c>
      <c r="F30" s="11" t="e" cm="1" vm="81">
        <f t="array" aca="1" ref="F30" ca="1">[2]Macro_Commentary_Classification!$C$2:$C$46</f>
        <v>#VALUE!</v>
      </c>
      <c r="G30" s="11"/>
      <c r="H30" s="11"/>
      <c r="I30" s="11"/>
    </row>
    <row r="31" spans="1:9" hidden="1" x14ac:dyDescent="0.3">
      <c r="A31" s="7" t="s">
        <v>100</v>
      </c>
      <c r="B31" s="8" t="s">
        <v>136</v>
      </c>
      <c r="C31" s="9" t="s">
        <v>138</v>
      </c>
      <c r="D31" s="10">
        <v>10</v>
      </c>
      <c r="E31" s="11">
        <f>COUNTIFS('[1]Consolidated Testing(7-10)'!$C:$C,B31,'[1]Consolidated Testing(7-10)'!$G:$G,C31,'[1]Consolidated Testing(7-10)'!$J:$J,1)</f>
        <v>1</v>
      </c>
      <c r="F31" s="11" t="e" cm="1" vm="81">
        <f t="array" aca="1" ref="F31" ca="1">[2]Macro_Commentary_Classification!$C$2:$C$46</f>
        <v>#VALUE!</v>
      </c>
      <c r="G31" s="11"/>
      <c r="H31" s="11"/>
      <c r="I31" s="11"/>
    </row>
    <row r="32" spans="1:9" hidden="1" x14ac:dyDescent="0.3">
      <c r="A32" s="7" t="s">
        <v>121</v>
      </c>
      <c r="B32" s="12" t="s">
        <v>101</v>
      </c>
      <c r="C32" s="9" t="s">
        <v>139</v>
      </c>
      <c r="D32" s="10">
        <v>6</v>
      </c>
      <c r="E32" s="11">
        <f>COUNTIFS('[1]Consolidated Testing(7-10)'!$C:$C,B32,'[1]Consolidated Testing(7-10)'!$G:$G,C32,'[1]Consolidated Testing(7-10)'!$J:$J,1)</f>
        <v>0</v>
      </c>
      <c r="F32" s="11"/>
      <c r="G32" s="11"/>
      <c r="H32" s="11"/>
      <c r="I32" s="11"/>
    </row>
    <row r="33" spans="1:9" hidden="1" x14ac:dyDescent="0.3">
      <c r="A33" s="7" t="s">
        <v>113</v>
      </c>
      <c r="B33" s="12" t="s">
        <v>7</v>
      </c>
      <c r="C33" s="9" t="s">
        <v>140</v>
      </c>
      <c r="D33" s="13">
        <v>6</v>
      </c>
      <c r="E33" s="11">
        <f>COUNTIFS('[1]Consolidated Testing(7-10)'!$C:$C,B33,'[1]Consolidated Testing(7-10)'!$G:$G,C33,'[1]Consolidated Testing(7-10)'!$J:$J,1)</f>
        <v>1</v>
      </c>
      <c r="F33" s="11" t="e" cm="1" vm="81">
        <f t="array" aca="1" ref="F33" ca="1">[2]Macro_Commentary_Classification!$C$2:$C$46</f>
        <v>#VALUE!</v>
      </c>
      <c r="G33" s="11"/>
      <c r="H33" s="11" t="str">
        <f>[2]Macro_Commentary_Classification!$C10</f>
        <v>Not Relevant</v>
      </c>
      <c r="I33" s="11"/>
    </row>
    <row r="34" spans="1:9" hidden="1" x14ac:dyDescent="0.3">
      <c r="A34" s="7" t="s">
        <v>121</v>
      </c>
      <c r="B34" s="8" t="s">
        <v>101</v>
      </c>
      <c r="C34" s="9" t="s">
        <v>141</v>
      </c>
      <c r="D34" s="10">
        <v>6</v>
      </c>
      <c r="E34" s="11">
        <f>COUNTIFS('[1]Consolidated Testing(7-10)'!$C:$C,B34,'[1]Consolidated Testing(7-10)'!$G:$G,C34,'[1]Consolidated Testing(7-10)'!$J:$J,1)</f>
        <v>0</v>
      </c>
      <c r="F34" s="11"/>
      <c r="G34" s="11"/>
      <c r="H34" s="11" t="str">
        <f>[2]Macro_Commentary_Classification!$C11</f>
        <v>Relevant</v>
      </c>
      <c r="I34" s="11"/>
    </row>
    <row r="35" spans="1:9" hidden="1" x14ac:dyDescent="0.3">
      <c r="A35" s="7" t="s">
        <v>121</v>
      </c>
      <c r="B35" s="12" t="s">
        <v>101</v>
      </c>
      <c r="C35" s="9" t="s">
        <v>142</v>
      </c>
      <c r="D35" s="10">
        <v>6</v>
      </c>
      <c r="E35" s="11">
        <f>COUNTIFS('[1]Consolidated Testing(7-10)'!$C:$C,B35,'[1]Consolidated Testing(7-10)'!$G:$G,C35,'[1]Consolidated Testing(7-10)'!$J:$J,1)</f>
        <v>0</v>
      </c>
      <c r="F35" s="11"/>
      <c r="G35" s="11"/>
      <c r="H35" s="11"/>
      <c r="I35" s="11"/>
    </row>
    <row r="36" spans="1:9" hidden="1" x14ac:dyDescent="0.3">
      <c r="A36" s="7" t="s">
        <v>100</v>
      </c>
      <c r="B36" s="8" t="s">
        <v>124</v>
      </c>
      <c r="C36" s="8" t="s">
        <v>143</v>
      </c>
      <c r="D36" s="13">
        <v>5</v>
      </c>
      <c r="E36" s="11">
        <f>COUNTIFS('[1]Consolidated Testing(7-10)'!$C:$C,B36,'[1]Consolidated Testing(7-10)'!$G:$G,C36,'[1]Consolidated Testing(7-10)'!$J:$J,1)</f>
        <v>2</v>
      </c>
      <c r="F36" s="11" t="e" cm="1" vm="81">
        <f t="array" aca="1" ref="F36" ca="1">[2]Macro_Commentary_Classification!$C$2:$C$46</f>
        <v>#VALUE!</v>
      </c>
      <c r="G36" s="11"/>
      <c r="H36" s="11"/>
      <c r="I36" s="11"/>
    </row>
    <row r="37" spans="1:9" hidden="1" x14ac:dyDescent="0.3">
      <c r="A37" s="7" t="s">
        <v>113</v>
      </c>
      <c r="B37" s="12" t="s">
        <v>7</v>
      </c>
      <c r="C37" s="9" t="s">
        <v>144</v>
      </c>
      <c r="D37" s="13">
        <v>6</v>
      </c>
      <c r="E37" s="11">
        <f>COUNTIFS('[1]Consolidated Testing(7-10)'!$C:$C,B37,'[1]Consolidated Testing(7-10)'!$G:$G,C37,'[1]Consolidated Testing(7-10)'!$J:$J,1)</f>
        <v>2</v>
      </c>
      <c r="F37" s="11" t="e" cm="1" vm="81">
        <f t="array" aca="1" ref="F37" ca="1">[2]Macro_Commentary_Classification!$C$2:$C$46</f>
        <v>#VALUE!</v>
      </c>
      <c r="G37" s="11"/>
      <c r="H37" s="11"/>
      <c r="I37" s="11"/>
    </row>
    <row r="38" spans="1:9" hidden="1" x14ac:dyDescent="0.3">
      <c r="A38" s="7" t="s">
        <v>121</v>
      </c>
      <c r="B38" s="12" t="s">
        <v>101</v>
      </c>
      <c r="C38" s="9" t="s">
        <v>145</v>
      </c>
      <c r="D38" s="10">
        <v>7</v>
      </c>
      <c r="E38" s="11">
        <f>COUNTIFS('[1]Consolidated Testing(7-10)'!$C:$C,B38,'[1]Consolidated Testing(7-10)'!$G:$G,C38,'[1]Consolidated Testing(7-10)'!$J:$J,1)</f>
        <v>0</v>
      </c>
      <c r="F38" s="11"/>
      <c r="G38" s="11"/>
      <c r="H38" s="11"/>
      <c r="I38" s="11"/>
    </row>
    <row r="39" spans="1:9" hidden="1" x14ac:dyDescent="0.3">
      <c r="A39" s="7" t="s">
        <v>121</v>
      </c>
      <c r="B39" s="12" t="s">
        <v>101</v>
      </c>
      <c r="C39" s="9" t="s">
        <v>146</v>
      </c>
      <c r="D39" s="10">
        <v>7</v>
      </c>
      <c r="E39" s="11">
        <f>COUNTIFS('[1]Consolidated Testing(7-10)'!$C:$C,B39,'[1]Consolidated Testing(7-10)'!$G:$G,C39,'[1]Consolidated Testing(7-10)'!$J:$J,1)</f>
        <v>0</v>
      </c>
      <c r="F39" s="11"/>
      <c r="G39" s="11"/>
      <c r="H39" s="11"/>
      <c r="I39" s="11"/>
    </row>
    <row r="40" spans="1:9" hidden="1" x14ac:dyDescent="0.3">
      <c r="A40" s="7" t="s">
        <v>113</v>
      </c>
      <c r="B40" s="12" t="s">
        <v>7</v>
      </c>
      <c r="C40" s="9" t="s">
        <v>147</v>
      </c>
      <c r="D40" s="13">
        <v>8</v>
      </c>
      <c r="E40" s="11">
        <f>COUNTIFS('[1]Consolidated Testing(7-10)'!$C:$C,B40,'[1]Consolidated Testing(7-10)'!$G:$G,C40,'[1]Consolidated Testing(7-10)'!$J:$J,1)</f>
        <v>1</v>
      </c>
      <c r="F40" s="11" t="e" cm="1" vm="81">
        <f t="array" aca="1" ref="F40" ca="1">[2]Macro_Commentary_Classification!$C$2:$C$46</f>
        <v>#VALUE!</v>
      </c>
      <c r="G40" s="11"/>
      <c r="H40" s="11"/>
      <c r="I40" s="11"/>
    </row>
    <row r="41" spans="1:9" hidden="1" x14ac:dyDescent="0.3">
      <c r="A41" s="7" t="s">
        <v>121</v>
      </c>
      <c r="B41" s="12" t="s">
        <v>101</v>
      </c>
      <c r="C41" s="9" t="s">
        <v>148</v>
      </c>
      <c r="D41" s="10">
        <v>8</v>
      </c>
      <c r="E41" s="11">
        <f>COUNTIFS('[1]Consolidated Testing(7-10)'!$C:$C,B41,'[1]Consolidated Testing(7-10)'!$G:$G,C41,'[1]Consolidated Testing(7-10)'!$J:$J,1)</f>
        <v>0</v>
      </c>
      <c r="F41" s="11"/>
      <c r="G41" s="11"/>
      <c r="H41" s="11"/>
      <c r="I41" s="11"/>
    </row>
    <row r="42" spans="1:9" hidden="1" x14ac:dyDescent="0.3">
      <c r="A42" s="7" t="s">
        <v>121</v>
      </c>
      <c r="B42" s="12" t="s">
        <v>101</v>
      </c>
      <c r="C42" s="9" t="s">
        <v>149</v>
      </c>
      <c r="D42" s="10">
        <v>9</v>
      </c>
      <c r="E42" s="11">
        <f>COUNTIFS('[1]Consolidated Testing(7-10)'!$C:$C,B42,'[1]Consolidated Testing(7-10)'!$G:$G,C42,'[1]Consolidated Testing(7-10)'!$J:$J,1)</f>
        <v>0</v>
      </c>
      <c r="F42" s="11"/>
      <c r="G42" s="11"/>
      <c r="H42" s="11"/>
      <c r="I42" s="11"/>
    </row>
    <row r="43" spans="1:9" hidden="1" x14ac:dyDescent="0.3">
      <c r="A43" s="7" t="s">
        <v>113</v>
      </c>
      <c r="B43" s="12" t="s">
        <v>7</v>
      </c>
      <c r="C43" s="9" t="s">
        <v>150</v>
      </c>
      <c r="D43" s="13">
        <v>10</v>
      </c>
      <c r="E43" s="11">
        <f>COUNTIFS('[1]Consolidated Testing(7-10)'!$C:$C,B43,'[1]Consolidated Testing(7-10)'!$G:$G,C43,'[1]Consolidated Testing(7-10)'!$J:$J,1)</f>
        <v>1</v>
      </c>
      <c r="F43" s="11" t="e" cm="1" vm="81">
        <f t="array" aca="1" ref="F43" ca="1">[2]Macro_Commentary_Classification!$C$2:$C$46</f>
        <v>#VALUE!</v>
      </c>
      <c r="G43" s="11"/>
      <c r="H43" s="11"/>
      <c r="I43" s="11"/>
    </row>
    <row r="44" spans="1:9" hidden="1" x14ac:dyDescent="0.3">
      <c r="A44" s="7" t="s">
        <v>121</v>
      </c>
      <c r="B44" s="12" t="s">
        <v>101</v>
      </c>
      <c r="C44" s="9" t="s">
        <v>151</v>
      </c>
      <c r="D44" s="10">
        <v>9</v>
      </c>
      <c r="E44" s="11">
        <f>COUNTIFS('[1]Consolidated Testing(7-10)'!$C:$C,B44,'[1]Consolidated Testing(7-10)'!$G:$G,C44,'[1]Consolidated Testing(7-10)'!$J:$J,1)</f>
        <v>0</v>
      </c>
      <c r="F44" s="11"/>
      <c r="G44" s="11"/>
      <c r="H44" s="11"/>
      <c r="I44" s="11"/>
    </row>
    <row r="45" spans="1:9" hidden="1" x14ac:dyDescent="0.3">
      <c r="A45" s="7" t="s">
        <v>121</v>
      </c>
      <c r="B45" s="12" t="s">
        <v>101</v>
      </c>
      <c r="C45" s="9" t="s">
        <v>152</v>
      </c>
      <c r="D45" s="10">
        <v>9</v>
      </c>
      <c r="E45" s="11">
        <f>COUNTIFS('[1]Consolidated Testing(7-10)'!$C:$C,B45,'[1]Consolidated Testing(7-10)'!$G:$G,C45,'[1]Consolidated Testing(7-10)'!$J:$J,1)</f>
        <v>0</v>
      </c>
      <c r="F45" s="11"/>
      <c r="G45" s="11"/>
      <c r="H45" s="11"/>
      <c r="I45" s="11"/>
    </row>
    <row r="46" spans="1:9" hidden="1" x14ac:dyDescent="0.3">
      <c r="A46" s="7" t="s">
        <v>121</v>
      </c>
      <c r="B46" s="12" t="s">
        <v>101</v>
      </c>
      <c r="C46" s="9" t="s">
        <v>153</v>
      </c>
      <c r="D46" s="10">
        <v>9</v>
      </c>
      <c r="E46" s="11">
        <f>COUNTIFS('[1]Consolidated Testing(7-10)'!$C:$C,B46,'[1]Consolidated Testing(7-10)'!$G:$G,C46,'[1]Consolidated Testing(7-10)'!$J:$J,1)</f>
        <v>0</v>
      </c>
      <c r="F46" s="11"/>
      <c r="G46" s="11"/>
      <c r="H46" s="11"/>
      <c r="I46" s="11"/>
    </row>
    <row r="47" spans="1:9" hidden="1" x14ac:dyDescent="0.3">
      <c r="A47" s="7" t="s">
        <v>121</v>
      </c>
      <c r="B47" s="12" t="s">
        <v>101</v>
      </c>
      <c r="C47" s="9" t="s">
        <v>154</v>
      </c>
      <c r="D47" s="10">
        <v>9</v>
      </c>
      <c r="E47" s="11">
        <f>COUNTIFS('[1]Consolidated Testing(7-10)'!$C:$C,B47,'[1]Consolidated Testing(7-10)'!$G:$G,C47,'[1]Consolidated Testing(7-10)'!$J:$J,1)</f>
        <v>0</v>
      </c>
      <c r="F47" s="11"/>
      <c r="G47" s="11"/>
      <c r="H47" s="11"/>
      <c r="I47" s="11"/>
    </row>
    <row r="48" spans="1:9" hidden="1" x14ac:dyDescent="0.3">
      <c r="A48" s="7" t="s">
        <v>121</v>
      </c>
      <c r="B48" s="12" t="s">
        <v>101</v>
      </c>
      <c r="C48" s="9" t="s">
        <v>155</v>
      </c>
      <c r="D48" s="10">
        <v>14</v>
      </c>
      <c r="E48" s="11">
        <f>COUNTIFS('[1]Consolidated Testing(7-10)'!$C:$C,B48,'[1]Consolidated Testing(7-10)'!$G:$G,C48,'[1]Consolidated Testing(7-10)'!$J:$J,1)</f>
        <v>0</v>
      </c>
      <c r="F48" s="11"/>
      <c r="G48" s="11"/>
      <c r="H48" s="11"/>
      <c r="I48" s="11"/>
    </row>
    <row r="49" spans="1:9" hidden="1" x14ac:dyDescent="0.3">
      <c r="A49" s="7" t="s">
        <v>121</v>
      </c>
      <c r="B49" s="15" t="s">
        <v>101</v>
      </c>
      <c r="C49" s="16" t="s">
        <v>156</v>
      </c>
      <c r="D49" s="17">
        <v>7</v>
      </c>
      <c r="E49" s="11">
        <f>COUNTIFS('[1]Consolidated Testing(7-10)'!$C:$C,B49,'[1]Consolidated Testing(7-10)'!$G:$G,C49,'[1]Consolidated Testing(7-10)'!$J:$J,1)</f>
        <v>0</v>
      </c>
      <c r="F49" s="11"/>
      <c r="G49" s="11"/>
      <c r="H49" s="11"/>
      <c r="I49" s="11"/>
    </row>
    <row r="50" spans="1:9" hidden="1" x14ac:dyDescent="0.3">
      <c r="A50" s="14" t="s">
        <v>113</v>
      </c>
      <c r="B50" s="8" t="s">
        <v>136</v>
      </c>
      <c r="C50" s="9" t="s">
        <v>157</v>
      </c>
      <c r="D50" s="11">
        <v>4</v>
      </c>
      <c r="E50" s="11">
        <f>COUNTIFS('[1]Consolidated Testing(7-10)'!$C:$C,B50,'[1]Consolidated Testing(7-10)'!$G:$G,C50,'[1]Consolidated Testing(7-10)'!$J:$J,1)</f>
        <v>2</v>
      </c>
      <c r="F50" s="11" t="e" cm="1" vm="81">
        <f t="array" aca="1" ref="F50" ca="1">[2]Macro_Commentary_Classification!$C$2:$C$46</f>
        <v>#VALUE!</v>
      </c>
      <c r="G50" s="11"/>
      <c r="H50" s="11"/>
      <c r="I50" s="11"/>
    </row>
    <row r="51" spans="1:9" hidden="1" x14ac:dyDescent="0.3">
      <c r="A51" s="14" t="s">
        <v>113</v>
      </c>
      <c r="B51" s="8" t="s">
        <v>101</v>
      </c>
      <c r="C51" s="9" t="s">
        <v>158</v>
      </c>
      <c r="D51" s="11">
        <v>4</v>
      </c>
      <c r="E51" s="11">
        <f>COUNTIFS('[1]Consolidated Testing(7-10)'!$C:$C,B51,'[1]Consolidated Testing(7-10)'!$G:$G,C51,'[1]Consolidated Testing(7-10)'!$J:$J,1)</f>
        <v>1</v>
      </c>
      <c r="F51" s="11" t="e" cm="1" vm="81">
        <f t="array" aca="1" ref="F51" ca="1">[2]Macro_Commentary_Classification!$C$2:$C$46</f>
        <v>#VALUE!</v>
      </c>
      <c r="G51" s="11"/>
      <c r="H51" s="11"/>
      <c r="I51" s="11"/>
    </row>
    <row r="52" spans="1:9" hidden="1" x14ac:dyDescent="0.3">
      <c r="A52" s="14" t="s">
        <v>121</v>
      </c>
      <c r="B52" s="8" t="s">
        <v>101</v>
      </c>
      <c r="C52" s="9" t="s">
        <v>159</v>
      </c>
      <c r="D52" s="18">
        <v>6</v>
      </c>
      <c r="E52" s="11">
        <f>COUNTIFS('[1]Consolidated Testing(7-10)'!$C:$C,B52,'[1]Consolidated Testing(7-10)'!$G:$G,C52,'[1]Consolidated Testing(7-10)'!$J:$J,1)</f>
        <v>0</v>
      </c>
      <c r="F52" s="11"/>
      <c r="G52" s="11"/>
      <c r="H52" s="11"/>
      <c r="I52" s="11"/>
    </row>
    <row r="53" spans="1:9" hidden="1" x14ac:dyDescent="0.3">
      <c r="A53" s="14" t="s">
        <v>113</v>
      </c>
      <c r="B53" s="8" t="s">
        <v>101</v>
      </c>
      <c r="C53" s="9" t="s">
        <v>160</v>
      </c>
      <c r="D53" s="11">
        <v>4</v>
      </c>
      <c r="E53" s="11">
        <f>COUNTIFS('[1]Consolidated Testing(7-10)'!$C:$C,B53,'[1]Consolidated Testing(7-10)'!$G:$G,C53,'[1]Consolidated Testing(7-10)'!$J:$J,1)</f>
        <v>2</v>
      </c>
      <c r="F53" s="11" t="e" cm="1" vm="81">
        <f t="array" aca="1" ref="F53" ca="1">[2]Macro_Commentary_Classification!$C$2:$C$46</f>
        <v>#VALUE!</v>
      </c>
      <c r="G53" s="11"/>
      <c r="H53" s="11"/>
      <c r="I53" s="11"/>
    </row>
    <row r="54" spans="1:9" hidden="1" x14ac:dyDescent="0.3">
      <c r="A54" s="14" t="s">
        <v>113</v>
      </c>
      <c r="B54" s="8" t="s">
        <v>136</v>
      </c>
      <c r="C54" s="9" t="s">
        <v>161</v>
      </c>
      <c r="D54" s="11">
        <v>4</v>
      </c>
      <c r="E54" s="11">
        <f>COUNTIFS('[1]Consolidated Testing(7-10)'!$C:$C,B54,'[1]Consolidated Testing(7-10)'!$G:$G,C54,'[1]Consolidated Testing(7-10)'!$J:$J,1)</f>
        <v>1</v>
      </c>
      <c r="F54" s="11" t="e" cm="1" vm="81">
        <f t="array" aca="1" ref="F54" ca="1">[2]Macro_Commentary_Classification!$C$2:$C$46</f>
        <v>#VALUE!</v>
      </c>
      <c r="G54" s="11"/>
      <c r="H54" s="11"/>
      <c r="I54" s="11"/>
    </row>
    <row r="55" spans="1:9" hidden="1" x14ac:dyDescent="0.3">
      <c r="A55" s="14" t="s">
        <v>162</v>
      </c>
      <c r="B55" s="8" t="s">
        <v>101</v>
      </c>
      <c r="C55" s="9" t="s">
        <v>163</v>
      </c>
      <c r="D55" s="18">
        <v>4</v>
      </c>
      <c r="E55" s="11">
        <f>COUNTIFS('[1]Consolidated Testing(7-10)'!$C:$C,B55,'[1]Consolidated Testing(7-10)'!$G:$G,C55,'[1]Consolidated Testing(7-10)'!$J:$J,1)</f>
        <v>0</v>
      </c>
      <c r="F55" s="11"/>
      <c r="G55" s="11"/>
      <c r="H55" s="11"/>
      <c r="I55" s="11"/>
    </row>
    <row r="56" spans="1:9" hidden="1" x14ac:dyDescent="0.3">
      <c r="A56" s="14" t="s">
        <v>162</v>
      </c>
      <c r="B56" s="11" t="s">
        <v>101</v>
      </c>
      <c r="C56" s="9" t="s">
        <v>164</v>
      </c>
      <c r="D56" s="18">
        <v>5</v>
      </c>
      <c r="E56" s="11">
        <f>COUNTIFS('[1]Consolidated Testing(7-10)'!$C:$C,B56,'[1]Consolidated Testing(7-10)'!$G:$G,C56,'[1]Consolidated Testing(7-10)'!$J:$J,1)</f>
        <v>0</v>
      </c>
      <c r="F56" s="11"/>
      <c r="G56" s="11"/>
      <c r="H56" s="11"/>
      <c r="I56" s="11"/>
    </row>
    <row r="57" spans="1:9" hidden="1" x14ac:dyDescent="0.3">
      <c r="A57" s="14" t="s">
        <v>162</v>
      </c>
      <c r="B57" s="11" t="s">
        <v>101</v>
      </c>
      <c r="C57" s="9" t="s">
        <v>165</v>
      </c>
      <c r="D57" s="18">
        <v>6</v>
      </c>
      <c r="E57" s="11">
        <f>COUNTIFS('[1]Consolidated Testing(7-10)'!$C:$C,B57,'[1]Consolidated Testing(7-10)'!$G:$G,C57,'[1]Consolidated Testing(7-10)'!$J:$J,1)</f>
        <v>0</v>
      </c>
      <c r="F57" s="11"/>
      <c r="G57" s="11"/>
      <c r="H57" s="11"/>
      <c r="I57" s="11"/>
    </row>
    <row r="58" spans="1:9" hidden="1" x14ac:dyDescent="0.3">
      <c r="A58" s="14" t="s">
        <v>162</v>
      </c>
      <c r="B58" s="8" t="s">
        <v>101</v>
      </c>
      <c r="C58" s="9" t="s">
        <v>166</v>
      </c>
      <c r="D58" s="18">
        <v>6</v>
      </c>
      <c r="E58" s="11">
        <f>COUNTIFS('[1]Consolidated Testing(7-10)'!$C:$C,B58,'[1]Consolidated Testing(7-10)'!$G:$G,C58,'[1]Consolidated Testing(7-10)'!$J:$J,1)</f>
        <v>0</v>
      </c>
      <c r="F58" s="11"/>
      <c r="G58" s="11"/>
      <c r="H58" s="11"/>
      <c r="I58" s="11"/>
    </row>
    <row r="59" spans="1:9" hidden="1" x14ac:dyDescent="0.3">
      <c r="A59" s="14" t="s">
        <v>162</v>
      </c>
      <c r="B59" s="8" t="s">
        <v>101</v>
      </c>
      <c r="C59" s="9" t="s">
        <v>167</v>
      </c>
      <c r="D59" s="18">
        <v>8</v>
      </c>
      <c r="E59" s="11">
        <f>COUNTIFS('[1]Consolidated Testing(7-10)'!$C:$C,B59,'[1]Consolidated Testing(7-10)'!$G:$G,C59,'[1]Consolidated Testing(7-10)'!$J:$J,1)</f>
        <v>0</v>
      </c>
      <c r="F59" s="11"/>
      <c r="G59" s="11"/>
      <c r="H59" s="11"/>
      <c r="I59" s="11"/>
    </row>
    <row r="60" spans="1:9" hidden="1" x14ac:dyDescent="0.3">
      <c r="A60" s="14" t="s">
        <v>162</v>
      </c>
      <c r="B60" s="8" t="s">
        <v>101</v>
      </c>
      <c r="C60" s="9" t="s">
        <v>168</v>
      </c>
      <c r="D60" s="18">
        <v>8</v>
      </c>
      <c r="E60" s="11">
        <f>COUNTIFS('[1]Consolidated Testing(7-10)'!$C:$C,B60,'[1]Consolidated Testing(7-10)'!$G:$G,C60,'[1]Consolidated Testing(7-10)'!$J:$J,1)</f>
        <v>0</v>
      </c>
      <c r="F60" s="11"/>
      <c r="G60" s="11"/>
      <c r="H60" s="11"/>
      <c r="I60" s="11"/>
    </row>
    <row r="61" spans="1:9" hidden="1" x14ac:dyDescent="0.3">
      <c r="A61" s="14" t="s">
        <v>162</v>
      </c>
      <c r="B61" s="8" t="s">
        <v>101</v>
      </c>
      <c r="C61" s="9" t="s">
        <v>169</v>
      </c>
      <c r="D61" s="18">
        <v>10</v>
      </c>
      <c r="E61" s="11">
        <f>COUNTIFS('[1]Consolidated Testing(7-10)'!$C:$C,B61,'[1]Consolidated Testing(7-10)'!$G:$G,C61,'[1]Consolidated Testing(7-10)'!$J:$J,1)</f>
        <v>0</v>
      </c>
      <c r="F61" s="11"/>
      <c r="G61" s="11"/>
      <c r="H61" s="11"/>
      <c r="I61" s="11"/>
    </row>
    <row r="62" spans="1:9" hidden="1" x14ac:dyDescent="0.3">
      <c r="A62" s="14" t="s">
        <v>162</v>
      </c>
      <c r="B62" s="11" t="s">
        <v>101</v>
      </c>
      <c r="C62" s="9" t="s">
        <v>170</v>
      </c>
      <c r="D62" s="18">
        <v>10</v>
      </c>
      <c r="E62" s="11">
        <f>COUNTIFS('[1]Consolidated Testing(7-10)'!$C:$C,B62,'[1]Consolidated Testing(7-10)'!$G:$G,C62,'[1]Consolidated Testing(7-10)'!$J:$J,1)</f>
        <v>0</v>
      </c>
      <c r="F62" s="11"/>
      <c r="G62" s="11"/>
      <c r="H62" s="11"/>
      <c r="I62" s="11"/>
    </row>
    <row r="63" spans="1:9" hidden="1" x14ac:dyDescent="0.3">
      <c r="A63" s="14" t="s">
        <v>162</v>
      </c>
      <c r="B63" s="8" t="s">
        <v>101</v>
      </c>
      <c r="C63" s="9" t="s">
        <v>171</v>
      </c>
      <c r="D63" s="18">
        <v>6</v>
      </c>
      <c r="E63" s="11">
        <f>COUNTIFS('[1]Consolidated Testing(7-10)'!$C:$C,B63,'[1]Consolidated Testing(7-10)'!$G:$G,C63,'[1]Consolidated Testing(7-10)'!$J:$J,1)</f>
        <v>0</v>
      </c>
      <c r="F63" s="11"/>
      <c r="G63" s="11"/>
      <c r="H63" s="11"/>
      <c r="I63" s="11"/>
    </row>
    <row r="64" spans="1:9" hidden="1" x14ac:dyDescent="0.3">
      <c r="A64" s="14" t="s">
        <v>162</v>
      </c>
      <c r="B64" s="8" t="s">
        <v>101</v>
      </c>
      <c r="C64" s="9" t="s">
        <v>172</v>
      </c>
      <c r="D64" s="18">
        <v>12</v>
      </c>
      <c r="E64" s="11">
        <f>COUNTIFS('[1]Consolidated Testing(7-10)'!$C:$C,B64,'[1]Consolidated Testing(7-10)'!$G:$G,C64,'[1]Consolidated Testing(7-10)'!$J:$J,1)</f>
        <v>0</v>
      </c>
      <c r="F64" s="11"/>
      <c r="G64" s="11"/>
      <c r="H64" s="11"/>
      <c r="I64" s="11"/>
    </row>
    <row r="65" spans="1:9" hidden="1" x14ac:dyDescent="0.3">
      <c r="A65" s="14" t="s">
        <v>113</v>
      </c>
      <c r="B65" s="8" t="s">
        <v>111</v>
      </c>
      <c r="C65" s="9" t="s">
        <v>173</v>
      </c>
      <c r="D65" s="11">
        <v>11</v>
      </c>
      <c r="E65" s="11">
        <f>COUNTIFS('[1]Consolidated Testing(7-10)'!$C:$C,B65,'[1]Consolidated Testing(7-10)'!$G:$G,C65,'[1]Consolidated Testing(7-10)'!$J:$J,1)</f>
        <v>0</v>
      </c>
      <c r="F65" s="11"/>
      <c r="G65" s="11"/>
      <c r="H65" s="11"/>
      <c r="I65" s="11"/>
    </row>
    <row r="66" spans="1:9" hidden="1" x14ac:dyDescent="0.3">
      <c r="A66" s="14" t="s">
        <v>113</v>
      </c>
      <c r="B66" s="11" t="s">
        <v>111</v>
      </c>
      <c r="C66" s="9" t="s">
        <v>174</v>
      </c>
      <c r="D66" s="11">
        <v>22</v>
      </c>
      <c r="E66" s="11">
        <f>COUNTIFS('[1]Consolidated Testing(7-10)'!$C:$C,B66,'[1]Consolidated Testing(7-10)'!$G:$G,C66,'[1]Consolidated Testing(7-10)'!$J:$J,1)</f>
        <v>0</v>
      </c>
      <c r="F66" s="11"/>
      <c r="G66" s="11"/>
      <c r="H66" s="11"/>
      <c r="I66" s="11"/>
    </row>
    <row r="67" spans="1:9" hidden="1" x14ac:dyDescent="0.3">
      <c r="A67" s="14" t="s">
        <v>113</v>
      </c>
      <c r="B67" s="8" t="s">
        <v>7</v>
      </c>
      <c r="C67" s="9" t="s">
        <v>175</v>
      </c>
      <c r="D67" s="11">
        <v>9</v>
      </c>
      <c r="E67" s="11">
        <f>COUNTIFS('[1]Consolidated Testing(7-10)'!$C:$C,B67,'[1]Consolidated Testing(7-10)'!$G:$G,C67,'[1]Consolidated Testing(7-10)'!$J:$J,1)</f>
        <v>1</v>
      </c>
      <c r="F67" s="11" t="e" cm="1" vm="81">
        <f t="array" aca="1" ref="F67" ca="1">[2]Macro_Commentary_Classification!$C$2:$C$46</f>
        <v>#VALUE!</v>
      </c>
      <c r="G67" s="11"/>
      <c r="H67" s="11"/>
      <c r="I67" s="11"/>
    </row>
    <row r="68" spans="1:9" hidden="1" x14ac:dyDescent="0.3">
      <c r="A68" s="14" t="s">
        <v>121</v>
      </c>
      <c r="B68" s="8" t="s">
        <v>7</v>
      </c>
      <c r="C68" s="9" t="s">
        <v>176</v>
      </c>
      <c r="D68" s="18">
        <v>4</v>
      </c>
      <c r="E68" s="11">
        <f>COUNTIFS('[1]Consolidated Testing(7-10)'!$C:$C,B68,'[1]Consolidated Testing(7-10)'!$G:$G,C68,'[1]Consolidated Testing(7-10)'!$J:$J,1)</f>
        <v>1</v>
      </c>
      <c r="F68" s="11" t="e" cm="1" vm="81">
        <f t="array" aca="1" ref="F68" ca="1">[2]Macro_Commentary_Classification!$C$2:$C$46</f>
        <v>#VALUE!</v>
      </c>
      <c r="G68" s="11"/>
      <c r="H68" s="11"/>
      <c r="I68" s="11"/>
    </row>
    <row r="69" spans="1:9" hidden="1" x14ac:dyDescent="0.3">
      <c r="A69" s="14" t="s">
        <v>113</v>
      </c>
      <c r="B69" s="8" t="s">
        <v>111</v>
      </c>
      <c r="C69" s="9" t="s">
        <v>177</v>
      </c>
      <c r="D69" s="11">
        <v>22</v>
      </c>
      <c r="E69" s="11">
        <f>COUNTIFS('[1]Consolidated Testing(7-10)'!$C:$C,B69,'[1]Consolidated Testing(7-10)'!$G:$G,C69,'[1]Consolidated Testing(7-10)'!$J:$J,1)</f>
        <v>0</v>
      </c>
      <c r="F69" s="11"/>
      <c r="G69" s="11"/>
      <c r="H69" s="11"/>
      <c r="I69" s="11"/>
    </row>
    <row r="70" spans="1:9" hidden="1" x14ac:dyDescent="0.3">
      <c r="A70" s="14" t="s">
        <v>121</v>
      </c>
      <c r="B70" s="8" t="s">
        <v>111</v>
      </c>
      <c r="C70" s="9" t="s">
        <v>178</v>
      </c>
      <c r="D70" s="18">
        <v>4</v>
      </c>
      <c r="E70" s="11">
        <f>COUNTIFS('[1]Consolidated Testing(7-10)'!$C:$C,B70,'[1]Consolidated Testing(7-10)'!$G:$G,C70,'[1]Consolidated Testing(7-10)'!$J:$J,1)</f>
        <v>0</v>
      </c>
      <c r="F70" s="11"/>
      <c r="G70" s="11"/>
      <c r="H70" s="11"/>
      <c r="I70" s="11"/>
    </row>
    <row r="71" spans="1:9" hidden="1" x14ac:dyDescent="0.3">
      <c r="A71" s="14" t="s">
        <v>121</v>
      </c>
      <c r="B71" s="11" t="s">
        <v>111</v>
      </c>
      <c r="C71" s="9" t="s">
        <v>179</v>
      </c>
      <c r="D71" s="18">
        <v>5</v>
      </c>
      <c r="E71" s="11">
        <f>COUNTIFS('[1]Consolidated Testing(7-10)'!$C:$C,B71,'[1]Consolidated Testing(7-10)'!$G:$G,C71,'[1]Consolidated Testing(7-10)'!$J:$J,1)</f>
        <v>0</v>
      </c>
      <c r="F71" s="11"/>
      <c r="G71" s="11"/>
      <c r="H71" s="11"/>
      <c r="I71" s="11"/>
    </row>
    <row r="72" spans="1:9" hidden="1" x14ac:dyDescent="0.3">
      <c r="A72" s="14" t="s">
        <v>121</v>
      </c>
      <c r="B72" s="8" t="s">
        <v>111</v>
      </c>
      <c r="C72" s="9" t="s">
        <v>180</v>
      </c>
      <c r="D72" s="18">
        <v>6</v>
      </c>
      <c r="E72" s="11">
        <f>COUNTIFS('[1]Consolidated Testing(7-10)'!$C:$C,B72,'[1]Consolidated Testing(7-10)'!$G:$G,C72,'[1]Consolidated Testing(7-10)'!$J:$J,1)</f>
        <v>0</v>
      </c>
      <c r="F72" s="11"/>
      <c r="G72" s="11"/>
      <c r="H72" s="11"/>
      <c r="I72" s="11"/>
    </row>
    <row r="73" spans="1:9" hidden="1" x14ac:dyDescent="0.3">
      <c r="A73" s="14" t="s">
        <v>121</v>
      </c>
      <c r="B73" s="8" t="s">
        <v>111</v>
      </c>
      <c r="C73" s="9" t="s">
        <v>181</v>
      </c>
      <c r="D73" s="18">
        <v>7</v>
      </c>
      <c r="E73" s="11">
        <f>COUNTIFS('[1]Consolidated Testing(7-10)'!$C:$C,B73,'[1]Consolidated Testing(7-10)'!$G:$G,C73,'[1]Consolidated Testing(7-10)'!$J:$J,1)</f>
        <v>0</v>
      </c>
      <c r="F73" s="11"/>
      <c r="G73" s="11"/>
      <c r="H73" s="11"/>
      <c r="I73" s="11"/>
    </row>
    <row r="74" spans="1:9" hidden="1" x14ac:dyDescent="0.3">
      <c r="A74" s="14" t="s">
        <v>113</v>
      </c>
      <c r="B74" s="8" t="s">
        <v>101</v>
      </c>
      <c r="C74" s="9" t="s">
        <v>182</v>
      </c>
      <c r="D74" s="11">
        <v>8</v>
      </c>
      <c r="E74" s="11">
        <f>COUNTIFS('[1]Consolidated Testing(7-10)'!$C:$C,B74,'[1]Consolidated Testing(7-10)'!$G:$G,C74,'[1]Consolidated Testing(7-10)'!$J:$J,1)</f>
        <v>2</v>
      </c>
      <c r="F74" s="11" t="e" cm="1" vm="81">
        <f t="array" aca="1" ref="F74" ca="1">[2]Macro_Commentary_Classification!$C$2:$C$46</f>
        <v>#VALUE!</v>
      </c>
      <c r="G74" s="11"/>
      <c r="H74" s="11"/>
      <c r="I74" s="11"/>
    </row>
    <row r="75" spans="1:9" hidden="1" x14ac:dyDescent="0.3">
      <c r="A75" s="14" t="s">
        <v>121</v>
      </c>
      <c r="B75" s="8" t="s">
        <v>111</v>
      </c>
      <c r="C75" s="9" t="s">
        <v>183</v>
      </c>
      <c r="D75" s="18">
        <v>7</v>
      </c>
      <c r="E75" s="11">
        <f>COUNTIFS('[1]Consolidated Testing(7-10)'!$C:$C,B75,'[1]Consolidated Testing(7-10)'!$G:$G,C75,'[1]Consolidated Testing(7-10)'!$J:$J,1)</f>
        <v>0</v>
      </c>
      <c r="F75" s="11"/>
      <c r="G75" s="11"/>
      <c r="H75" s="11"/>
      <c r="I75" s="11"/>
    </row>
    <row r="76" spans="1:9" x14ac:dyDescent="0.3">
      <c r="A76" s="14" t="s">
        <v>100</v>
      </c>
      <c r="B76" s="8" t="s">
        <v>7</v>
      </c>
      <c r="C76" s="9" t="s">
        <v>184</v>
      </c>
      <c r="D76" s="18">
        <v>9</v>
      </c>
      <c r="E76" s="11">
        <f>COUNTIFS('[1]Consolidated Testing(7-10)'!$C:$C,B76,'[1]Consolidated Testing(7-10)'!$G:$G,C76,'[1]Consolidated Testing(7-10)'!$J:$J,1)</f>
        <v>0</v>
      </c>
      <c r="F76" s="11"/>
      <c r="G76" s="11"/>
      <c r="H76" s="11"/>
      <c r="I76" s="11"/>
    </row>
    <row r="77" spans="1:9" x14ac:dyDescent="0.3">
      <c r="A77" s="14" t="s">
        <v>100</v>
      </c>
      <c r="B77" s="11" t="s">
        <v>7</v>
      </c>
      <c r="C77" s="9" t="s">
        <v>185</v>
      </c>
      <c r="D77" s="18">
        <v>9</v>
      </c>
      <c r="E77" s="11">
        <f>COUNTIFS('[1]Consolidated Testing(7-10)'!$C:$C,B77,'[1]Consolidated Testing(7-10)'!$G:$G,C77,'[1]Consolidated Testing(7-10)'!$J:$J,1)</f>
        <v>0</v>
      </c>
      <c r="F77" s="11"/>
      <c r="G77" s="11"/>
      <c r="H77" s="11"/>
      <c r="I77" s="11"/>
    </row>
    <row r="78" spans="1:9" x14ac:dyDescent="0.3">
      <c r="A78" s="14" t="s">
        <v>100</v>
      </c>
      <c r="B78" s="8" t="s">
        <v>7</v>
      </c>
      <c r="C78" s="9" t="s">
        <v>186</v>
      </c>
      <c r="D78" s="18">
        <v>10</v>
      </c>
      <c r="E78" s="11">
        <f>COUNTIFS('[1]Consolidated Testing(7-10)'!$C:$C,B78,'[1]Consolidated Testing(7-10)'!$G:$G,C78,'[1]Consolidated Testing(7-10)'!$J:$J,1)</f>
        <v>0</v>
      </c>
      <c r="F78" s="11"/>
      <c r="G78" s="11"/>
      <c r="H78" s="11"/>
      <c r="I78" s="11"/>
    </row>
    <row r="79" spans="1:9" x14ac:dyDescent="0.3">
      <c r="A79" s="14" t="s">
        <v>100</v>
      </c>
      <c r="B79" s="8" t="s">
        <v>7</v>
      </c>
      <c r="C79" s="9" t="s">
        <v>187</v>
      </c>
      <c r="D79" s="18">
        <v>13</v>
      </c>
      <c r="E79" s="11">
        <f>COUNTIFS('[1]Consolidated Testing(7-10)'!$C:$C,B79,'[1]Consolidated Testing(7-10)'!$G:$G,C79,'[1]Consolidated Testing(7-10)'!$J:$J,1)</f>
        <v>0</v>
      </c>
      <c r="F79" s="11"/>
      <c r="G79" s="11"/>
      <c r="H79" s="11"/>
      <c r="I79" s="11"/>
    </row>
    <row r="80" spans="1:9" x14ac:dyDescent="0.3">
      <c r="A80" s="14" t="s">
        <v>100</v>
      </c>
      <c r="B80" s="8" t="s">
        <v>7</v>
      </c>
      <c r="C80" s="9" t="s">
        <v>188</v>
      </c>
      <c r="D80" s="18">
        <v>13</v>
      </c>
      <c r="E80" s="11">
        <f>COUNTIFS('[1]Consolidated Testing(7-10)'!$C:$C,B80,'[1]Consolidated Testing(7-10)'!$G:$G,C80,'[1]Consolidated Testing(7-10)'!$J:$J,1)</f>
        <v>0</v>
      </c>
      <c r="F80" s="11"/>
      <c r="G80" s="11"/>
      <c r="H80" s="11"/>
      <c r="I80" s="11"/>
    </row>
    <row r="81" spans="1:9" x14ac:dyDescent="0.3">
      <c r="A81" s="14" t="s">
        <v>100</v>
      </c>
      <c r="B81" s="8" t="s">
        <v>7</v>
      </c>
      <c r="C81" s="9" t="s">
        <v>189</v>
      </c>
      <c r="D81" s="18">
        <v>15</v>
      </c>
      <c r="E81" s="11">
        <f>COUNTIFS('[1]Consolidated Testing(7-10)'!$C:$C,B81,'[1]Consolidated Testing(7-10)'!$G:$G,C81,'[1]Consolidated Testing(7-10)'!$J:$J,1)</f>
        <v>0</v>
      </c>
      <c r="F81" s="11"/>
      <c r="G81" s="11"/>
      <c r="H81" s="11"/>
      <c r="I81" s="11"/>
    </row>
    <row r="82" spans="1:9" hidden="1" x14ac:dyDescent="0.3">
      <c r="A82" s="14" t="s">
        <v>113</v>
      </c>
      <c r="B82" s="8" t="s">
        <v>101</v>
      </c>
      <c r="C82" s="9" t="s">
        <v>190</v>
      </c>
      <c r="D82" s="11">
        <v>10</v>
      </c>
      <c r="E82" s="11">
        <f>COUNTIFS('[1]Consolidated Testing(7-10)'!$C:$C,B82,'[1]Consolidated Testing(7-10)'!$G:$G,C82,'[1]Consolidated Testing(7-10)'!$J:$J,1)</f>
        <v>1</v>
      </c>
      <c r="F82" s="11" t="e" cm="1" vm="81">
        <f t="array" aca="1" ref="F82" ca="1">[2]Macro_Commentary_Classification!$C$2:$C$46</f>
        <v>#VALUE!</v>
      </c>
      <c r="G82" s="11"/>
      <c r="H82" s="11"/>
      <c r="I82" s="11"/>
    </row>
    <row r="83" spans="1:9" hidden="1" x14ac:dyDescent="0.3">
      <c r="A83" s="14" t="s">
        <v>121</v>
      </c>
      <c r="B83" s="8" t="s">
        <v>7</v>
      </c>
      <c r="C83" s="9" t="s">
        <v>191</v>
      </c>
      <c r="D83" s="18">
        <v>8</v>
      </c>
      <c r="E83" s="11">
        <f>COUNTIFS('[1]Consolidated Testing(7-10)'!$C:$C,B83,'[1]Consolidated Testing(7-10)'!$G:$G,C83,'[1]Consolidated Testing(7-10)'!$J:$J,1)</f>
        <v>1</v>
      </c>
      <c r="F83" s="11" t="e" cm="1" vm="81">
        <f t="array" aca="1" ref="F83" ca="1">[2]Macro_Commentary_Classification!$C$2:$C$46</f>
        <v>#VALUE!</v>
      </c>
      <c r="G83" s="11"/>
      <c r="H83" s="11"/>
      <c r="I83" s="11"/>
    </row>
    <row r="84" spans="1:9" x14ac:dyDescent="0.3">
      <c r="A84" s="14" t="s">
        <v>100</v>
      </c>
      <c r="B84" s="8" t="s">
        <v>7</v>
      </c>
      <c r="C84" s="9" t="s">
        <v>192</v>
      </c>
      <c r="D84" s="18">
        <v>15</v>
      </c>
      <c r="E84" s="11">
        <f>COUNTIFS('[1]Consolidated Testing(7-10)'!$C:$C,B84,'[1]Consolidated Testing(7-10)'!$G:$G,C84,'[1]Consolidated Testing(7-10)'!$J:$J,1)</f>
        <v>0</v>
      </c>
      <c r="F84" s="11"/>
      <c r="G84" s="11"/>
      <c r="H84" s="11"/>
      <c r="I84" s="11"/>
    </row>
    <row r="85" spans="1:9" x14ac:dyDescent="0.3">
      <c r="A85" s="14" t="s">
        <v>113</v>
      </c>
      <c r="B85" s="8" t="s">
        <v>7</v>
      </c>
      <c r="C85" s="9" t="s">
        <v>193</v>
      </c>
      <c r="D85" s="11">
        <v>5</v>
      </c>
      <c r="E85" s="11">
        <f>COUNTIFS('[1]Consolidated Testing(7-10)'!$C:$C,B85,'[1]Consolidated Testing(7-10)'!$G:$G,C85,'[1]Consolidated Testing(7-10)'!$J:$J,1)</f>
        <v>0</v>
      </c>
      <c r="F85" s="11"/>
      <c r="G85" s="11"/>
      <c r="H85" s="11"/>
      <c r="I85" s="11"/>
    </row>
    <row r="86" spans="1:9" x14ac:dyDescent="0.3">
      <c r="A86" s="14" t="s">
        <v>113</v>
      </c>
      <c r="B86" s="8" t="s">
        <v>7</v>
      </c>
      <c r="C86" s="9" t="s">
        <v>194</v>
      </c>
      <c r="D86" s="11">
        <v>5</v>
      </c>
      <c r="E86" s="11">
        <f>COUNTIFS('[1]Consolidated Testing(7-10)'!$C:$C,B86,'[1]Consolidated Testing(7-10)'!$G:$G,C86,'[1]Consolidated Testing(7-10)'!$J:$J,1)</f>
        <v>0</v>
      </c>
      <c r="F86" s="11"/>
      <c r="G86" s="11"/>
      <c r="H86" s="11"/>
      <c r="I86" s="11"/>
    </row>
    <row r="87" spans="1:9" hidden="1" x14ac:dyDescent="0.3">
      <c r="A87" s="14" t="s">
        <v>162</v>
      </c>
      <c r="B87" s="8" t="s">
        <v>7</v>
      </c>
      <c r="C87" s="9" t="s">
        <v>195</v>
      </c>
      <c r="D87" s="18">
        <v>5</v>
      </c>
      <c r="E87" s="11">
        <f>COUNTIFS('[1]Consolidated Testing(7-10)'!$C:$C,B87,'[1]Consolidated Testing(7-10)'!$G:$G,C87,'[1]Consolidated Testing(7-10)'!$J:$J,1)</f>
        <v>1</v>
      </c>
      <c r="F87" s="11" t="e" cm="1" vm="81">
        <f t="array" aca="1" ref="F87" ca="1">[2]Macro_Commentary_Classification!$C$2:$C$46</f>
        <v>#VALUE!</v>
      </c>
      <c r="G87" s="11"/>
      <c r="H87" s="11"/>
      <c r="I87" s="11"/>
    </row>
    <row r="88" spans="1:9" x14ac:dyDescent="0.3">
      <c r="A88" s="14" t="s">
        <v>113</v>
      </c>
      <c r="B88" s="8" t="s">
        <v>7</v>
      </c>
      <c r="C88" s="9" t="s">
        <v>196</v>
      </c>
      <c r="D88" s="11">
        <v>6</v>
      </c>
      <c r="E88" s="11">
        <f>COUNTIFS('[1]Consolidated Testing(7-10)'!$C:$C,B88,'[1]Consolidated Testing(7-10)'!$G:$G,C88,'[1]Consolidated Testing(7-10)'!$J:$J,1)</f>
        <v>0</v>
      </c>
      <c r="F88" s="11"/>
      <c r="G88" s="11"/>
      <c r="H88" s="11"/>
      <c r="I88" s="11"/>
    </row>
    <row r="89" spans="1:9" hidden="1" x14ac:dyDescent="0.3">
      <c r="A89" s="14" t="s">
        <v>162</v>
      </c>
      <c r="B89" s="8" t="s">
        <v>7</v>
      </c>
      <c r="C89" s="9" t="s">
        <v>197</v>
      </c>
      <c r="D89" s="18">
        <v>5</v>
      </c>
      <c r="E89" s="11">
        <f>COUNTIFS('[1]Consolidated Testing(7-10)'!$C:$C,B89,'[1]Consolidated Testing(7-10)'!$G:$G,C89,'[1]Consolidated Testing(7-10)'!$J:$J,1)</f>
        <v>1</v>
      </c>
      <c r="F89" s="11" t="e" cm="1" vm="81">
        <f t="array" aca="1" ref="F89" ca="1">[2]Macro_Commentary_Classification!$C$2:$C$46</f>
        <v>#VALUE!</v>
      </c>
      <c r="G89" s="11"/>
      <c r="H89" s="11"/>
      <c r="I89" s="11"/>
    </row>
    <row r="90" spans="1:9" hidden="1" x14ac:dyDescent="0.3">
      <c r="A90" s="14" t="s">
        <v>162</v>
      </c>
      <c r="B90" s="8" t="s">
        <v>7</v>
      </c>
      <c r="C90" s="9" t="s">
        <v>198</v>
      </c>
      <c r="D90" s="18">
        <v>6</v>
      </c>
      <c r="E90" s="11">
        <f>COUNTIFS('[1]Consolidated Testing(7-10)'!$C:$C,B90,'[1]Consolidated Testing(7-10)'!$G:$G,C90,'[1]Consolidated Testing(7-10)'!$J:$J,1)</f>
        <v>1</v>
      </c>
      <c r="F90" s="11" t="e" cm="1" vm="81">
        <f t="array" aca="1" ref="F90" ca="1">[2]Macro_Commentary_Classification!$C$2:$C$46</f>
        <v>#VALUE!</v>
      </c>
      <c r="G90" s="11"/>
      <c r="H90" s="11"/>
      <c r="I90" s="11"/>
    </row>
    <row r="91" spans="1:9" x14ac:dyDescent="0.3">
      <c r="A91" s="14" t="s">
        <v>113</v>
      </c>
      <c r="B91" s="8" t="s">
        <v>7</v>
      </c>
      <c r="C91" s="9" t="s">
        <v>199</v>
      </c>
      <c r="D91" s="11">
        <v>6</v>
      </c>
      <c r="E91" s="11">
        <f>COUNTIFS('[1]Consolidated Testing(7-10)'!$C:$C,B91,'[1]Consolidated Testing(7-10)'!$G:$G,C91,'[1]Consolidated Testing(7-10)'!$J:$J,1)</f>
        <v>0</v>
      </c>
      <c r="F91" s="11"/>
      <c r="G91" s="11"/>
      <c r="H91" s="11"/>
      <c r="I91" s="11"/>
    </row>
    <row r="92" spans="1:9" x14ac:dyDescent="0.3">
      <c r="A92" s="14" t="s">
        <v>113</v>
      </c>
      <c r="B92" s="8" t="s">
        <v>7</v>
      </c>
      <c r="C92" s="9" t="s">
        <v>200</v>
      </c>
      <c r="D92" s="11">
        <v>7</v>
      </c>
      <c r="E92" s="11">
        <f>COUNTIFS('[1]Consolidated Testing(7-10)'!$C:$C,B92,'[1]Consolidated Testing(7-10)'!$G:$G,C92,'[1]Consolidated Testing(7-10)'!$J:$J,1)</f>
        <v>0</v>
      </c>
      <c r="F92" s="11"/>
      <c r="G92" s="11"/>
      <c r="H92" s="11"/>
      <c r="I92" s="11"/>
    </row>
    <row r="93" spans="1:9" hidden="1" x14ac:dyDescent="0.3">
      <c r="A93" s="14" t="s">
        <v>162</v>
      </c>
      <c r="B93" s="11" t="s">
        <v>7</v>
      </c>
      <c r="C93" s="9" t="s">
        <v>201</v>
      </c>
      <c r="D93" s="18">
        <v>7</v>
      </c>
      <c r="E93" s="11">
        <f>COUNTIFS('[1]Consolidated Testing(7-10)'!$C:$C,B93,'[1]Consolidated Testing(7-10)'!$G:$G,C93,'[1]Consolidated Testing(7-10)'!$J:$J,1)</f>
        <v>1</v>
      </c>
      <c r="F93" s="11" t="e" cm="1" vm="81">
        <f t="array" aca="1" ref="F93" ca="1">[2]Macro_Commentary_Classification!$C$2:$C$46</f>
        <v>#VALUE!</v>
      </c>
      <c r="G93" s="11"/>
      <c r="H93" s="11"/>
      <c r="I93" s="11"/>
    </row>
    <row r="94" spans="1:9" x14ac:dyDescent="0.3">
      <c r="A94" s="14" t="s">
        <v>113</v>
      </c>
      <c r="B94" s="8" t="s">
        <v>7</v>
      </c>
      <c r="C94" s="19" t="s">
        <v>202</v>
      </c>
      <c r="D94" s="11">
        <v>8</v>
      </c>
      <c r="E94" s="11">
        <f>COUNTIFS('[1]Consolidated Testing(7-10)'!$C:$C,B94,'[1]Consolidated Testing(7-10)'!$G:$G,C94,'[1]Consolidated Testing(7-10)'!$J:$J,1)</f>
        <v>0</v>
      </c>
      <c r="F94" s="11"/>
      <c r="G94" s="11"/>
      <c r="H94" s="11"/>
      <c r="I94" s="11"/>
    </row>
    <row r="95" spans="1:9" x14ac:dyDescent="0.3">
      <c r="A95" s="14" t="s">
        <v>113</v>
      </c>
      <c r="B95" s="11" t="s">
        <v>7</v>
      </c>
      <c r="C95" s="9" t="s">
        <v>203</v>
      </c>
      <c r="D95" s="11">
        <v>10</v>
      </c>
      <c r="E95" s="11">
        <f>COUNTIFS('[1]Consolidated Testing(7-10)'!$C:$C,B95,'[1]Consolidated Testing(7-10)'!$G:$G,C95,'[1]Consolidated Testing(7-10)'!$J:$J,1)</f>
        <v>0</v>
      </c>
      <c r="F95" s="11"/>
      <c r="G95" s="11"/>
      <c r="H95" s="11"/>
      <c r="I95" s="11"/>
    </row>
    <row r="96" spans="1:9" hidden="1" x14ac:dyDescent="0.3">
      <c r="A96" s="14" t="s">
        <v>162</v>
      </c>
      <c r="B96" s="8" t="s">
        <v>7</v>
      </c>
      <c r="C96" s="9" t="s">
        <v>204</v>
      </c>
      <c r="D96" s="18">
        <v>8</v>
      </c>
      <c r="E96" s="11">
        <f>COUNTIFS('[1]Consolidated Testing(7-10)'!$C:$C,B96,'[1]Consolidated Testing(7-10)'!$G:$G,C96,'[1]Consolidated Testing(7-10)'!$J:$J,1)</f>
        <v>1</v>
      </c>
      <c r="F96" s="11" t="e" cm="1" vm="81">
        <f t="array" aca="1" ref="F96" ca="1">[2]Macro_Commentary_Classification!$C$2:$C$46</f>
        <v>#VALUE!</v>
      </c>
      <c r="G96" s="11"/>
      <c r="H96" s="11"/>
      <c r="I96" s="11"/>
    </row>
    <row r="97" spans="1:9" x14ac:dyDescent="0.3">
      <c r="A97" s="14" t="s">
        <v>113</v>
      </c>
      <c r="B97" s="11" t="s">
        <v>7</v>
      </c>
      <c r="C97" s="9" t="s">
        <v>205</v>
      </c>
      <c r="D97" s="11">
        <v>10</v>
      </c>
      <c r="E97" s="11">
        <f>COUNTIFS('[1]Consolidated Testing(7-10)'!$C:$C,B97,'[1]Consolidated Testing(7-10)'!$G:$G,C97,'[1]Consolidated Testing(7-10)'!$J:$J,1)</f>
        <v>0</v>
      </c>
      <c r="F97" s="11"/>
      <c r="G97" s="11"/>
      <c r="H97" s="11"/>
      <c r="I97" s="11"/>
    </row>
    <row r="98" spans="1:9" x14ac:dyDescent="0.3">
      <c r="A98" s="14" t="s">
        <v>113</v>
      </c>
      <c r="B98" s="8" t="s">
        <v>7</v>
      </c>
      <c r="C98" s="9" t="s">
        <v>206</v>
      </c>
      <c r="D98" s="11">
        <v>10</v>
      </c>
      <c r="E98" s="11">
        <f>COUNTIFS('[1]Consolidated Testing(7-10)'!$C:$C,B98,'[1]Consolidated Testing(7-10)'!$G:$G,C98,'[1]Consolidated Testing(7-10)'!$J:$J,1)</f>
        <v>0</v>
      </c>
      <c r="F98" s="11"/>
      <c r="G98" s="11"/>
      <c r="H98" s="11"/>
      <c r="I98" s="11"/>
    </row>
    <row r="99" spans="1:9" x14ac:dyDescent="0.3">
      <c r="A99" s="14" t="s">
        <v>113</v>
      </c>
      <c r="B99" s="8" t="s">
        <v>7</v>
      </c>
      <c r="C99" s="9" t="s">
        <v>207</v>
      </c>
      <c r="D99" s="11">
        <v>11</v>
      </c>
      <c r="E99" s="11">
        <f>COUNTIFS('[1]Consolidated Testing(7-10)'!$C:$C,B99,'[1]Consolidated Testing(7-10)'!$G:$G,C99,'[1]Consolidated Testing(7-10)'!$J:$J,1)</f>
        <v>0</v>
      </c>
      <c r="F99" s="11"/>
      <c r="G99" s="11"/>
      <c r="H99" s="11"/>
      <c r="I99" s="11"/>
    </row>
    <row r="100" spans="1:9" x14ac:dyDescent="0.3">
      <c r="A100" s="14" t="s">
        <v>113</v>
      </c>
      <c r="B100" s="8" t="s">
        <v>7</v>
      </c>
      <c r="C100" s="9" t="s">
        <v>208</v>
      </c>
      <c r="D100" s="11">
        <v>11</v>
      </c>
      <c r="E100" s="11">
        <f>COUNTIFS('[1]Consolidated Testing(7-10)'!$C:$C,B100,'[1]Consolidated Testing(7-10)'!$G:$G,C100,'[1]Consolidated Testing(7-10)'!$J:$J,1)</f>
        <v>0</v>
      </c>
      <c r="F100" s="11"/>
      <c r="G100" s="11"/>
      <c r="H100" s="11"/>
      <c r="I100" s="11"/>
    </row>
    <row r="101" spans="1:9" hidden="1" x14ac:dyDescent="0.3">
      <c r="A101" s="14" t="s">
        <v>113</v>
      </c>
      <c r="B101" s="11" t="s">
        <v>130</v>
      </c>
      <c r="C101" s="9" t="s">
        <v>209</v>
      </c>
      <c r="D101" s="11">
        <v>11</v>
      </c>
      <c r="E101" s="11">
        <f>COUNTIFS('[1]Consolidated Testing(7-10)'!$C:$C,B101,'[1]Consolidated Testing(7-10)'!$G:$G,C101,'[1]Consolidated Testing(7-10)'!$J:$J,1)</f>
        <v>1</v>
      </c>
      <c r="F101" s="11" t="e" cm="1" vm="81">
        <f t="array" aca="1" ref="F101" ca="1">[2]Macro_Commentary_Classification!$C$2:$C$46</f>
        <v>#VALUE!</v>
      </c>
      <c r="G101" s="11"/>
      <c r="H101" s="11"/>
      <c r="I101" s="11"/>
    </row>
    <row r="102" spans="1:9" x14ac:dyDescent="0.3">
      <c r="A102" s="14" t="s">
        <v>113</v>
      </c>
      <c r="B102" s="11" t="s">
        <v>7</v>
      </c>
      <c r="C102" s="9" t="s">
        <v>210</v>
      </c>
      <c r="D102" s="11">
        <v>13</v>
      </c>
      <c r="E102" s="11">
        <f>COUNTIFS('[1]Consolidated Testing(7-10)'!$C:$C,B102,'[1]Consolidated Testing(7-10)'!$G:$G,C102,'[1]Consolidated Testing(7-10)'!$J:$J,1)</f>
        <v>0</v>
      </c>
      <c r="F102" s="11"/>
      <c r="G102" s="11"/>
      <c r="H102" s="11"/>
      <c r="I102" s="11"/>
    </row>
    <row r="103" spans="1:9" x14ac:dyDescent="0.3">
      <c r="A103" s="14" t="s">
        <v>113</v>
      </c>
      <c r="B103" s="11" t="s">
        <v>7</v>
      </c>
      <c r="C103" s="9" t="s">
        <v>211</v>
      </c>
      <c r="D103" s="11">
        <v>13</v>
      </c>
      <c r="E103" s="11">
        <f>COUNTIFS('[1]Consolidated Testing(7-10)'!$C:$C,B103,'[1]Consolidated Testing(7-10)'!$G:$G,C103,'[1]Consolidated Testing(7-10)'!$J:$J,1)</f>
        <v>0</v>
      </c>
      <c r="F103" s="11"/>
      <c r="G103" s="11"/>
      <c r="H103" s="11"/>
      <c r="I103" s="11"/>
    </row>
    <row r="104" spans="1:9" x14ac:dyDescent="0.3">
      <c r="A104" s="14" t="s">
        <v>113</v>
      </c>
      <c r="B104" s="11" t="s">
        <v>7</v>
      </c>
      <c r="C104" s="9" t="s">
        <v>212</v>
      </c>
      <c r="D104" s="11">
        <v>15</v>
      </c>
      <c r="E104" s="11">
        <f>COUNTIFS('[1]Consolidated Testing(7-10)'!$C:$C,B104,'[1]Consolidated Testing(7-10)'!$G:$G,C104,'[1]Consolidated Testing(7-10)'!$J:$J,1)</f>
        <v>0</v>
      </c>
      <c r="F104" s="11"/>
      <c r="G104" s="11"/>
      <c r="H104" s="11"/>
      <c r="I104" s="11"/>
    </row>
    <row r="105" spans="1:9" x14ac:dyDescent="0.3">
      <c r="A105" s="14" t="s">
        <v>113</v>
      </c>
      <c r="B105" s="11" t="s">
        <v>7</v>
      </c>
      <c r="C105" s="9" t="s">
        <v>213</v>
      </c>
      <c r="D105" s="11">
        <v>16</v>
      </c>
      <c r="E105" s="11">
        <f>COUNTIFS('[1]Consolidated Testing(7-10)'!$C:$C,B105,'[1]Consolidated Testing(7-10)'!$G:$G,C105,'[1]Consolidated Testing(7-10)'!$J:$J,1)</f>
        <v>0</v>
      </c>
      <c r="F105" s="11"/>
      <c r="G105" s="11"/>
      <c r="H105" s="11"/>
      <c r="I105" s="11"/>
    </row>
    <row r="106" spans="1:9" x14ac:dyDescent="0.3">
      <c r="A106" s="14" t="s">
        <v>113</v>
      </c>
      <c r="B106" s="11" t="s">
        <v>7</v>
      </c>
      <c r="C106" s="9" t="s">
        <v>214</v>
      </c>
      <c r="D106" s="11">
        <v>16</v>
      </c>
      <c r="E106" s="11">
        <f>COUNTIFS('[1]Consolidated Testing(7-10)'!$C:$C,B106,'[1]Consolidated Testing(7-10)'!$G:$G,C106,'[1]Consolidated Testing(7-10)'!$J:$J,1)</f>
        <v>0</v>
      </c>
      <c r="F106" s="11"/>
      <c r="G106" s="11"/>
      <c r="H106" s="11"/>
      <c r="I106" s="11"/>
    </row>
    <row r="107" spans="1:9" x14ac:dyDescent="0.3">
      <c r="A107" s="14" t="s">
        <v>113</v>
      </c>
      <c r="B107" s="11" t="s">
        <v>7</v>
      </c>
      <c r="C107" s="9" t="s">
        <v>215</v>
      </c>
      <c r="D107" s="11">
        <v>20</v>
      </c>
      <c r="E107" s="11">
        <f>COUNTIFS('[1]Consolidated Testing(7-10)'!$C:$C,B107,'[1]Consolidated Testing(7-10)'!$G:$G,C107,'[1]Consolidated Testing(7-10)'!$J:$J,1)</f>
        <v>0</v>
      </c>
      <c r="F107" s="11"/>
      <c r="G107" s="11"/>
      <c r="H107" s="11"/>
      <c r="I107" s="11"/>
    </row>
    <row r="108" spans="1:9" x14ac:dyDescent="0.3">
      <c r="A108" s="14" t="s">
        <v>113</v>
      </c>
      <c r="B108" s="11" t="s">
        <v>7</v>
      </c>
      <c r="C108" s="9" t="s">
        <v>216</v>
      </c>
      <c r="D108" s="11">
        <v>16</v>
      </c>
      <c r="E108" s="11">
        <f>COUNTIFS('[1]Consolidated Testing(7-10)'!$C:$C,B108,'[1]Consolidated Testing(7-10)'!$G:$G,C108,'[1]Consolidated Testing(7-10)'!$J:$J,1)</f>
        <v>0</v>
      </c>
      <c r="F108" s="11"/>
      <c r="G108" s="11"/>
      <c r="H108" s="11"/>
      <c r="I108" s="11"/>
    </row>
    <row r="109" spans="1:9" x14ac:dyDescent="0.3">
      <c r="A109" s="14" t="s">
        <v>113</v>
      </c>
      <c r="B109" s="8" t="s">
        <v>7</v>
      </c>
      <c r="C109" s="9" t="s">
        <v>217</v>
      </c>
      <c r="D109" s="11">
        <v>7</v>
      </c>
      <c r="E109" s="11">
        <f>COUNTIFS('[1]Consolidated Testing(7-10)'!$C:$C,B109,'[1]Consolidated Testing(7-10)'!$G:$G,C109,'[1]Consolidated Testing(7-10)'!$J:$J,1)</f>
        <v>0</v>
      </c>
      <c r="F109" s="11"/>
      <c r="G109" s="11"/>
      <c r="H109" s="11"/>
      <c r="I109" s="11"/>
    </row>
    <row r="110" spans="1:9" x14ac:dyDescent="0.3">
      <c r="A110" s="14" t="s">
        <v>113</v>
      </c>
      <c r="B110" s="8" t="s">
        <v>7</v>
      </c>
      <c r="C110" s="9" t="s">
        <v>218</v>
      </c>
      <c r="D110" s="11">
        <v>17</v>
      </c>
      <c r="E110" s="11">
        <f>COUNTIFS('[1]Consolidated Testing(7-10)'!$C:$C,B110,'[1]Consolidated Testing(7-10)'!$G:$G,C110,'[1]Consolidated Testing(7-10)'!$J:$J,1)</f>
        <v>0</v>
      </c>
      <c r="F110" s="11"/>
      <c r="G110" s="11"/>
      <c r="H110" s="11"/>
      <c r="I110" s="11"/>
    </row>
    <row r="111" spans="1:9" x14ac:dyDescent="0.3">
      <c r="A111" s="14" t="s">
        <v>121</v>
      </c>
      <c r="B111" s="8" t="s">
        <v>7</v>
      </c>
      <c r="C111" s="9" t="s">
        <v>219</v>
      </c>
      <c r="D111" s="18">
        <v>5</v>
      </c>
      <c r="E111" s="11">
        <f>COUNTIFS('[1]Consolidated Testing(7-10)'!$C:$C,B111,'[1]Consolidated Testing(7-10)'!$G:$G,C111,'[1]Consolidated Testing(7-10)'!$J:$J,1)</f>
        <v>0</v>
      </c>
      <c r="F111" s="11"/>
      <c r="G111" s="11"/>
      <c r="H111" s="11"/>
      <c r="I111" s="11"/>
    </row>
    <row r="112" spans="1:9" x14ac:dyDescent="0.3">
      <c r="A112" s="14" t="s">
        <v>121</v>
      </c>
      <c r="B112" s="8" t="s">
        <v>7</v>
      </c>
      <c r="C112" s="9" t="s">
        <v>220</v>
      </c>
      <c r="D112" s="18">
        <v>6</v>
      </c>
      <c r="E112" s="11">
        <f>COUNTIFS('[1]Consolidated Testing(7-10)'!$C:$C,B112,'[1]Consolidated Testing(7-10)'!$G:$G,C112,'[1]Consolidated Testing(7-10)'!$J:$J,1)</f>
        <v>0</v>
      </c>
      <c r="F112" s="11"/>
      <c r="G112" s="11"/>
      <c r="H112" s="11"/>
      <c r="I112" s="11"/>
    </row>
    <row r="113" spans="1:9" x14ac:dyDescent="0.3">
      <c r="A113" s="14" t="s">
        <v>121</v>
      </c>
      <c r="B113" s="8" t="s">
        <v>7</v>
      </c>
      <c r="C113" s="9" t="s">
        <v>221</v>
      </c>
      <c r="D113" s="18">
        <v>6</v>
      </c>
      <c r="E113" s="11">
        <f>COUNTIFS('[1]Consolidated Testing(7-10)'!$C:$C,B113,'[1]Consolidated Testing(7-10)'!$G:$G,C113,'[1]Consolidated Testing(7-10)'!$J:$J,1)</f>
        <v>0</v>
      </c>
      <c r="F113" s="11"/>
      <c r="G113" s="11"/>
      <c r="H113" s="11"/>
      <c r="I113" s="11"/>
    </row>
    <row r="114" spans="1:9" hidden="1" x14ac:dyDescent="0.3">
      <c r="A114" s="14" t="s">
        <v>113</v>
      </c>
      <c r="B114" s="8" t="s">
        <v>101</v>
      </c>
      <c r="C114" s="9" t="s">
        <v>222</v>
      </c>
      <c r="D114" s="11">
        <v>8</v>
      </c>
      <c r="E114" s="11">
        <f>COUNTIFS('[1]Consolidated Testing(7-10)'!$C:$C,B114,'[1]Consolidated Testing(7-10)'!$G:$G,C114,'[1]Consolidated Testing(7-10)'!$J:$J,1)</f>
        <v>1</v>
      </c>
      <c r="F114" s="11" t="e" cm="1" vm="81">
        <f t="array" aca="1" ref="F114" ca="1">[2]Macro_Commentary_Classification!$C$2:$C$46</f>
        <v>#VALUE!</v>
      </c>
      <c r="G114" s="11"/>
      <c r="H114" s="11"/>
      <c r="I114" s="11"/>
    </row>
    <row r="115" spans="1:9" x14ac:dyDescent="0.3">
      <c r="A115" s="14" t="s">
        <v>121</v>
      </c>
      <c r="B115" s="8" t="s">
        <v>7</v>
      </c>
      <c r="C115" s="9" t="s">
        <v>223</v>
      </c>
      <c r="D115" s="18">
        <v>6</v>
      </c>
      <c r="E115" s="11">
        <f>COUNTIFS('[1]Consolidated Testing(7-10)'!$C:$C,B115,'[1]Consolidated Testing(7-10)'!$G:$G,C115,'[1]Consolidated Testing(7-10)'!$J:$J,1)</f>
        <v>0</v>
      </c>
      <c r="F115" s="11"/>
      <c r="G115" s="11"/>
      <c r="H115" s="11"/>
      <c r="I115" s="11"/>
    </row>
    <row r="116" spans="1:9" x14ac:dyDescent="0.3">
      <c r="A116" s="14" t="s">
        <v>121</v>
      </c>
      <c r="B116" s="8" t="s">
        <v>7</v>
      </c>
      <c r="C116" s="9" t="s">
        <v>224</v>
      </c>
      <c r="D116" s="18">
        <v>6</v>
      </c>
      <c r="E116" s="11">
        <f>COUNTIFS('[1]Consolidated Testing(7-10)'!$C:$C,B116,'[1]Consolidated Testing(7-10)'!$G:$G,C116,'[1]Consolidated Testing(7-10)'!$J:$J,1)</f>
        <v>0</v>
      </c>
      <c r="F116" s="11"/>
      <c r="G116" s="11"/>
      <c r="H116" s="11"/>
      <c r="I116" s="11"/>
    </row>
    <row r="117" spans="1:9" x14ac:dyDescent="0.3">
      <c r="A117" s="14" t="s">
        <v>121</v>
      </c>
      <c r="B117" s="8" t="s">
        <v>7</v>
      </c>
      <c r="C117" s="9" t="s">
        <v>225</v>
      </c>
      <c r="D117" s="18">
        <v>10</v>
      </c>
      <c r="E117" s="11">
        <f>COUNTIFS('[1]Consolidated Testing(7-10)'!$C:$C,B117,'[1]Consolidated Testing(7-10)'!$G:$G,C117,'[1]Consolidated Testing(7-10)'!$J:$J,1)</f>
        <v>0</v>
      </c>
      <c r="F117" s="11"/>
      <c r="G117" s="11"/>
      <c r="H117" s="11"/>
      <c r="I117" s="11"/>
    </row>
    <row r="118" spans="1:9" x14ac:dyDescent="0.3">
      <c r="A118" s="14" t="s">
        <v>162</v>
      </c>
      <c r="B118" s="8" t="s">
        <v>7</v>
      </c>
      <c r="C118" s="9" t="s">
        <v>226</v>
      </c>
      <c r="D118" s="18">
        <v>4</v>
      </c>
      <c r="E118" s="11">
        <f>COUNTIFS('[1]Consolidated Testing(7-10)'!$C:$C,B118,'[1]Consolidated Testing(7-10)'!$G:$G,C118,'[1]Consolidated Testing(7-10)'!$J:$J,1)</f>
        <v>0</v>
      </c>
      <c r="F118" s="11"/>
      <c r="G118" s="11"/>
      <c r="H118" s="11"/>
      <c r="I118" s="11"/>
    </row>
    <row r="119" spans="1:9" x14ac:dyDescent="0.3">
      <c r="A119" s="14" t="s">
        <v>162</v>
      </c>
      <c r="B119" s="8" t="s">
        <v>7</v>
      </c>
      <c r="C119" s="9" t="s">
        <v>227</v>
      </c>
      <c r="D119" s="18">
        <v>4</v>
      </c>
      <c r="E119" s="11">
        <f>COUNTIFS('[1]Consolidated Testing(7-10)'!$C:$C,B119,'[1]Consolidated Testing(7-10)'!$G:$G,C119,'[1]Consolidated Testing(7-10)'!$J:$J,1)</f>
        <v>0</v>
      </c>
      <c r="F119" s="11"/>
      <c r="G119" s="11"/>
      <c r="H119" s="11"/>
      <c r="I119" s="11"/>
    </row>
    <row r="120" spans="1:9" hidden="1" x14ac:dyDescent="0.3">
      <c r="A120" s="14" t="s">
        <v>100</v>
      </c>
      <c r="B120" s="9" t="s">
        <v>228</v>
      </c>
      <c r="C120" s="9" t="s">
        <v>229</v>
      </c>
      <c r="D120" s="18">
        <v>6</v>
      </c>
      <c r="E120" s="11">
        <f>COUNTIFS('[1]Consolidated Testing(7-10)'!$C:$C,B120,'[1]Consolidated Testing(7-10)'!$G:$G,C120,'[1]Consolidated Testing(7-10)'!$J:$J,1)</f>
        <v>1</v>
      </c>
      <c r="F120" s="11" t="e" cm="1" vm="81">
        <f t="array" aca="1" ref="F120" ca="1">[2]Macro_Commentary_Classification!$C$2:$C$46</f>
        <v>#VALUE!</v>
      </c>
      <c r="G120" s="11"/>
      <c r="H120" s="11">
        <f>[2]Macro_Commentary_Classification!$C109</f>
        <v>0</v>
      </c>
      <c r="I120" s="11"/>
    </row>
    <row r="121" spans="1:9" x14ac:dyDescent="0.3">
      <c r="A121" s="14" t="s">
        <v>162</v>
      </c>
      <c r="B121" s="8" t="s">
        <v>7</v>
      </c>
      <c r="C121" s="9" t="s">
        <v>230</v>
      </c>
      <c r="D121" s="18">
        <v>6</v>
      </c>
      <c r="E121" s="11">
        <f>COUNTIFS('[1]Consolidated Testing(7-10)'!$C:$C,B121,'[1]Consolidated Testing(7-10)'!$G:$G,C121,'[1]Consolidated Testing(7-10)'!$J:$J,1)</f>
        <v>0</v>
      </c>
      <c r="F121" s="11"/>
      <c r="G121" s="11"/>
      <c r="H121" s="11">
        <f>[2]Macro_Commentary_Classification!$C110</f>
        <v>0</v>
      </c>
      <c r="I121" s="11"/>
    </row>
    <row r="122" spans="1:9" x14ac:dyDescent="0.3">
      <c r="A122" s="14" t="s">
        <v>162</v>
      </c>
      <c r="B122" s="11" t="s">
        <v>7</v>
      </c>
      <c r="C122" s="9" t="s">
        <v>231</v>
      </c>
      <c r="D122" s="18">
        <v>6</v>
      </c>
      <c r="E122" s="11">
        <f>COUNTIFS('[1]Consolidated Testing(7-10)'!$C:$C,B122,'[1]Consolidated Testing(7-10)'!$G:$G,C122,'[1]Consolidated Testing(7-10)'!$J:$J,1)</f>
        <v>0</v>
      </c>
      <c r="F122" s="11"/>
      <c r="G122" s="11"/>
      <c r="H122" s="11">
        <f>[2]Macro_Commentary_Classification!$C111</f>
        <v>0</v>
      </c>
      <c r="I122" s="11"/>
    </row>
    <row r="123" spans="1:9" x14ac:dyDescent="0.3">
      <c r="A123" s="14" t="s">
        <v>162</v>
      </c>
      <c r="B123" s="8" t="s">
        <v>7</v>
      </c>
      <c r="C123" s="9" t="s">
        <v>232</v>
      </c>
      <c r="D123" s="18">
        <v>7</v>
      </c>
      <c r="E123" s="11">
        <f>COUNTIFS('[1]Consolidated Testing(7-10)'!$C:$C,B123,'[1]Consolidated Testing(7-10)'!$G:$G,C123,'[1]Consolidated Testing(7-10)'!$J:$J,1)</f>
        <v>0</v>
      </c>
      <c r="F123" s="11"/>
      <c r="G123" s="11"/>
      <c r="H123" s="11">
        <f>[2]Macro_Commentary_Classification!$C112</f>
        <v>0</v>
      </c>
      <c r="I123" s="11"/>
    </row>
    <row r="124" spans="1:9" hidden="1" x14ac:dyDescent="0.3">
      <c r="A124" s="14" t="s">
        <v>113</v>
      </c>
      <c r="B124" s="8" t="s">
        <v>136</v>
      </c>
      <c r="C124" s="9" t="s">
        <v>233</v>
      </c>
      <c r="D124" s="11">
        <v>4</v>
      </c>
      <c r="E124" s="11">
        <f>COUNTIFS('[1]Consolidated Testing(7-10)'!$C:$C,B124,'[1]Consolidated Testing(7-10)'!$G:$G,C124,'[1]Consolidated Testing(7-10)'!$J:$J,1)</f>
        <v>1</v>
      </c>
      <c r="F124" s="11" t="e" cm="1" vm="81">
        <f t="array" aca="1" ref="F124" ca="1">[2]Macro_Commentary_Classification!$C$2:$C$46</f>
        <v>#VALUE!</v>
      </c>
      <c r="G124" s="11"/>
      <c r="H124" s="11">
        <f>[2]Macro_Commentary_Classification!$C113</f>
        <v>0</v>
      </c>
      <c r="I124" s="11"/>
    </row>
    <row r="125" spans="1:9" hidden="1" x14ac:dyDescent="0.3">
      <c r="A125" s="14" t="s">
        <v>113</v>
      </c>
      <c r="B125" s="8" t="s">
        <v>136</v>
      </c>
      <c r="C125" s="9" t="s">
        <v>234</v>
      </c>
      <c r="D125" s="11">
        <v>4</v>
      </c>
      <c r="E125" s="11">
        <f>COUNTIFS('[1]Consolidated Testing(7-10)'!$C:$C,B125,'[1]Consolidated Testing(7-10)'!$G:$G,C125,'[1]Consolidated Testing(7-10)'!$J:$J,1)</f>
        <v>1</v>
      </c>
      <c r="F125" s="11" t="e" cm="1" vm="81">
        <f t="array" aca="1" ref="F125" ca="1">[2]Macro_Commentary_Classification!$C$2:$C$46</f>
        <v>#VALUE!</v>
      </c>
      <c r="G125" s="11"/>
      <c r="H125" s="11">
        <f>[2]Macro_Commentary_Classification!$C114</f>
        <v>0</v>
      </c>
      <c r="I125" s="11"/>
    </row>
    <row r="126" spans="1:9" hidden="1" x14ac:dyDescent="0.3">
      <c r="A126" s="14" t="s">
        <v>113</v>
      </c>
      <c r="B126" s="8" t="s">
        <v>136</v>
      </c>
      <c r="C126" s="9" t="s">
        <v>235</v>
      </c>
      <c r="D126" s="11">
        <v>5</v>
      </c>
      <c r="E126" s="11">
        <f>COUNTIFS('[1]Consolidated Testing(7-10)'!$C:$C,B126,'[1]Consolidated Testing(7-10)'!$G:$G,C126,'[1]Consolidated Testing(7-10)'!$J:$J,1)</f>
        <v>1</v>
      </c>
      <c r="F126" s="11" t="e" cm="1" vm="81">
        <f t="array" aca="1" ref="F126" ca="1">[2]Macro_Commentary_Classification!$C$2:$C$46</f>
        <v>#VALUE!</v>
      </c>
      <c r="G126" s="11"/>
      <c r="H126" s="11"/>
      <c r="I126" s="11"/>
    </row>
    <row r="127" spans="1:9" hidden="1" x14ac:dyDescent="0.3">
      <c r="A127" s="14" t="s">
        <v>113</v>
      </c>
      <c r="B127" s="8" t="s">
        <v>136</v>
      </c>
      <c r="C127" s="9" t="s">
        <v>196</v>
      </c>
      <c r="D127" s="11">
        <v>6</v>
      </c>
      <c r="E127" s="11">
        <f>COUNTIFS('[1]Consolidated Testing(7-10)'!$C:$C,B127,'[1]Consolidated Testing(7-10)'!$G:$G,C127,'[1]Consolidated Testing(7-10)'!$J:$J,1)</f>
        <v>1</v>
      </c>
      <c r="F127" s="11" t="e" cm="1" vm="81">
        <f t="array" aca="1" ref="F127" ca="1">[2]Macro_Commentary_Classification!$C$2:$C$46</f>
        <v>#VALUE!</v>
      </c>
      <c r="G127" s="11"/>
      <c r="H127" s="11"/>
      <c r="I127" s="11"/>
    </row>
    <row r="128" spans="1:9" x14ac:dyDescent="0.3">
      <c r="A128" s="14" t="s">
        <v>162</v>
      </c>
      <c r="B128" s="8" t="s">
        <v>7</v>
      </c>
      <c r="C128" s="9" t="s">
        <v>236</v>
      </c>
      <c r="D128" s="18">
        <v>9</v>
      </c>
      <c r="E128" s="11">
        <f>COUNTIFS('[1]Consolidated Testing(7-10)'!$C:$C,B128,'[1]Consolidated Testing(7-10)'!$G:$G,C128,'[1]Consolidated Testing(7-10)'!$J:$J,1)</f>
        <v>0</v>
      </c>
      <c r="F128" s="11"/>
      <c r="G128" s="11"/>
      <c r="H128" s="11"/>
      <c r="I128" s="11"/>
    </row>
    <row r="129" spans="1:9" x14ac:dyDescent="0.3">
      <c r="A129" s="14" t="s">
        <v>162</v>
      </c>
      <c r="B129" s="8" t="s">
        <v>7</v>
      </c>
      <c r="C129" s="16" t="s">
        <v>237</v>
      </c>
      <c r="D129" s="18">
        <v>9</v>
      </c>
      <c r="E129" s="11">
        <f>COUNTIFS('[1]Consolidated Testing(7-10)'!$C:$C,B129,'[1]Consolidated Testing(7-10)'!$G:$G,C129,'[1]Consolidated Testing(7-10)'!$J:$J,1)</f>
        <v>0</v>
      </c>
      <c r="F129" s="11"/>
      <c r="G129" s="11"/>
      <c r="H129" s="11"/>
      <c r="I129" s="11"/>
    </row>
    <row r="130" spans="1:9" hidden="1" x14ac:dyDescent="0.3">
      <c r="A130" s="14" t="s">
        <v>121</v>
      </c>
      <c r="B130" s="8" t="s">
        <v>101</v>
      </c>
      <c r="C130" s="9" t="s">
        <v>238</v>
      </c>
      <c r="D130" s="10">
        <v>4</v>
      </c>
      <c r="E130" s="11">
        <f>COUNTIFS('[1]Consolidated Testing(7-10)'!$C:$C,B130,'[1]Consolidated Testing(7-10)'!$G:$G,C130,'[1]Consolidated Testing(7-10)'!$J:$J,1)</f>
        <v>1</v>
      </c>
      <c r="F130" s="11" t="e" cm="1" vm="81">
        <f t="array" aca="1" ref="F130" ca="1">[2]Macro_Commentary_Classification!$C$2:$C$46</f>
        <v>#VALUE!</v>
      </c>
      <c r="G130" s="11"/>
      <c r="H130" s="11"/>
      <c r="I130" s="11"/>
    </row>
    <row r="131" spans="1:9" hidden="1" x14ac:dyDescent="0.3">
      <c r="A131" s="14" t="s">
        <v>121</v>
      </c>
      <c r="B131" s="12" t="s">
        <v>101</v>
      </c>
      <c r="C131" s="9" t="s">
        <v>239</v>
      </c>
      <c r="D131" s="10">
        <v>4</v>
      </c>
      <c r="E131" s="11">
        <f>COUNTIFS('[1]Consolidated Testing(7-10)'!$C:$C,B131,'[1]Consolidated Testing(7-10)'!$G:$G,C131,'[1]Consolidated Testing(7-10)'!$J:$J,1)</f>
        <v>1</v>
      </c>
      <c r="F131" s="11" t="e" cm="1" vm="81">
        <f t="array" aca="1" ref="F131" ca="1">[2]Macro_Commentary_Classification!$C$2:$C$46</f>
        <v>#VALUE!</v>
      </c>
      <c r="G131" s="11"/>
      <c r="H131" s="11"/>
      <c r="I131" s="11"/>
    </row>
    <row r="132" spans="1:9" x14ac:dyDescent="0.3">
      <c r="A132" s="14" t="s">
        <v>162</v>
      </c>
      <c r="B132" s="8" t="s">
        <v>7</v>
      </c>
      <c r="C132" s="9" t="s">
        <v>240</v>
      </c>
      <c r="D132" s="10">
        <v>13</v>
      </c>
      <c r="E132" s="11">
        <f>COUNTIFS('[1]Consolidated Testing(7-10)'!$C:$C,B132,'[1]Consolidated Testing(7-10)'!$G:$G,C132,'[1]Consolidated Testing(7-10)'!$J:$J,1)</f>
        <v>0</v>
      </c>
      <c r="F132" s="11"/>
      <c r="G132" s="11"/>
      <c r="H132" s="11"/>
      <c r="I132" s="11"/>
    </row>
    <row r="133" spans="1:9" x14ac:dyDescent="0.3">
      <c r="A133" s="14" t="s">
        <v>162</v>
      </c>
      <c r="B133" s="8" t="s">
        <v>7</v>
      </c>
      <c r="C133" s="9" t="s">
        <v>241</v>
      </c>
      <c r="D133" s="10">
        <v>14</v>
      </c>
      <c r="E133" s="11">
        <f>COUNTIFS('[1]Consolidated Testing(7-10)'!$C:$C,B133,'[1]Consolidated Testing(7-10)'!$G:$G,C133,'[1]Consolidated Testing(7-10)'!$J:$J,1)</f>
        <v>0</v>
      </c>
      <c r="F133" s="11"/>
      <c r="G133" s="11"/>
      <c r="H133" s="11"/>
      <c r="I133" s="11"/>
    </row>
    <row r="134" spans="1:9" x14ac:dyDescent="0.3">
      <c r="A134" s="14" t="s">
        <v>162</v>
      </c>
      <c r="B134" s="8" t="s">
        <v>7</v>
      </c>
      <c r="C134" s="9" t="s">
        <v>242</v>
      </c>
      <c r="D134" s="10">
        <v>14</v>
      </c>
      <c r="E134" s="11">
        <f>COUNTIFS('[1]Consolidated Testing(7-10)'!$C:$C,B134,'[1]Consolidated Testing(7-10)'!$G:$G,C134,'[1]Consolidated Testing(7-10)'!$J:$J,1)</f>
        <v>0</v>
      </c>
      <c r="F134" s="11"/>
      <c r="G134" s="11"/>
      <c r="H134" s="11"/>
      <c r="I134" s="11"/>
    </row>
    <row r="135" spans="1:9" x14ac:dyDescent="0.3">
      <c r="A135" s="14" t="s">
        <v>162</v>
      </c>
      <c r="B135" s="12" t="s">
        <v>7</v>
      </c>
      <c r="C135" s="9" t="s">
        <v>243</v>
      </c>
      <c r="D135" s="10">
        <v>14</v>
      </c>
      <c r="E135" s="11">
        <f>COUNTIFS('[1]Consolidated Testing(7-10)'!$C:$C,B135,'[1]Consolidated Testing(7-10)'!$G:$G,C135,'[1]Consolidated Testing(7-10)'!$J:$J,1)</f>
        <v>0</v>
      </c>
      <c r="F135" s="11"/>
      <c r="G135" s="11"/>
      <c r="H135" s="11"/>
      <c r="I135" s="11"/>
    </row>
    <row r="136" spans="1:9" x14ac:dyDescent="0.3">
      <c r="A136" s="14" t="s">
        <v>162</v>
      </c>
      <c r="B136" s="12" t="s">
        <v>7</v>
      </c>
      <c r="C136" s="9" t="s">
        <v>244</v>
      </c>
      <c r="D136" s="10">
        <v>15</v>
      </c>
      <c r="E136" s="11">
        <f>COUNTIFS('[1]Consolidated Testing(7-10)'!$C:$C,B136,'[1]Consolidated Testing(7-10)'!$G:$G,C136,'[1]Consolidated Testing(7-10)'!$J:$J,1)</f>
        <v>0</v>
      </c>
      <c r="F136" s="11"/>
      <c r="G136" s="11"/>
      <c r="H136" s="11"/>
      <c r="I136" s="11"/>
    </row>
    <row r="137" spans="1:9" x14ac:dyDescent="0.3">
      <c r="A137" s="14" t="s">
        <v>162</v>
      </c>
      <c r="B137" s="12" t="s">
        <v>7</v>
      </c>
      <c r="C137" s="9" t="s">
        <v>245</v>
      </c>
      <c r="D137" s="10">
        <v>7</v>
      </c>
      <c r="E137" s="11">
        <f>COUNTIFS('[1]Consolidated Testing(7-10)'!$C:$C,B137,'[1]Consolidated Testing(7-10)'!$G:$G,C137,'[1]Consolidated Testing(7-10)'!$J:$J,1)</f>
        <v>0</v>
      </c>
      <c r="F137" s="11"/>
      <c r="G137" s="11"/>
      <c r="H137" s="11"/>
      <c r="I137" s="11"/>
    </row>
    <row r="138" spans="1:9" hidden="1" x14ac:dyDescent="0.3">
      <c r="A138" s="14" t="s">
        <v>100</v>
      </c>
      <c r="B138" s="8" t="s">
        <v>128</v>
      </c>
      <c r="C138" s="9" t="s">
        <v>246</v>
      </c>
      <c r="D138" s="10">
        <v>11</v>
      </c>
      <c r="E138" s="11">
        <f>COUNTIFS('[1]Consolidated Testing(7-10)'!$C:$C,B138,'[1]Consolidated Testing(7-10)'!$G:$G,C138,'[1]Consolidated Testing(7-10)'!$J:$J,1)</f>
        <v>0</v>
      </c>
      <c r="F138" s="11"/>
      <c r="G138" s="11"/>
      <c r="H138" s="11"/>
      <c r="I138" s="11"/>
    </row>
    <row r="139" spans="1:9" hidden="1" x14ac:dyDescent="0.3">
      <c r="A139" s="14" t="s">
        <v>100</v>
      </c>
      <c r="B139" s="8" t="s">
        <v>128</v>
      </c>
      <c r="C139" s="9" t="s">
        <v>247</v>
      </c>
      <c r="D139" s="10">
        <v>11</v>
      </c>
      <c r="E139" s="11">
        <f>COUNTIFS('[1]Consolidated Testing(7-10)'!$C:$C,B139,'[1]Consolidated Testing(7-10)'!$G:$G,C139,'[1]Consolidated Testing(7-10)'!$J:$J,1)</f>
        <v>0</v>
      </c>
      <c r="F139" s="11"/>
      <c r="G139" s="11"/>
      <c r="H139" s="11"/>
      <c r="I139" s="11"/>
    </row>
    <row r="140" spans="1:9" hidden="1" x14ac:dyDescent="0.3">
      <c r="A140" s="14" t="s">
        <v>113</v>
      </c>
      <c r="B140" s="8" t="s">
        <v>128</v>
      </c>
      <c r="C140" s="9" t="s">
        <v>248</v>
      </c>
      <c r="D140" s="13">
        <v>10</v>
      </c>
      <c r="E140" s="11">
        <f>COUNTIFS('[1]Consolidated Testing(7-10)'!$C:$C,B140,'[1]Consolidated Testing(7-10)'!$G:$G,C140,'[1]Consolidated Testing(7-10)'!$J:$J,1)</f>
        <v>0</v>
      </c>
      <c r="F140" s="11"/>
      <c r="G140" s="11"/>
      <c r="H140" s="11"/>
      <c r="I140" s="11"/>
    </row>
    <row r="141" spans="1:9" hidden="1" x14ac:dyDescent="0.3">
      <c r="A141" s="14" t="s">
        <v>113</v>
      </c>
      <c r="B141" s="8" t="s">
        <v>128</v>
      </c>
      <c r="C141" s="9" t="s">
        <v>249</v>
      </c>
      <c r="D141" s="13">
        <v>9</v>
      </c>
      <c r="E141" s="11">
        <f>COUNTIFS('[1]Consolidated Testing(7-10)'!$C:$C,B141,'[1]Consolidated Testing(7-10)'!$G:$G,C141,'[1]Consolidated Testing(7-10)'!$J:$J,1)</f>
        <v>0</v>
      </c>
      <c r="F141" s="11"/>
      <c r="G141" s="11"/>
      <c r="H141" s="11"/>
      <c r="I141" s="11"/>
    </row>
    <row r="142" spans="1:9" hidden="1" x14ac:dyDescent="0.3">
      <c r="A142" s="14" t="s">
        <v>113</v>
      </c>
      <c r="B142" s="8" t="s">
        <v>128</v>
      </c>
      <c r="C142" s="9" t="s">
        <v>250</v>
      </c>
      <c r="D142" s="13">
        <v>21</v>
      </c>
      <c r="E142" s="11">
        <f>COUNTIFS('[1]Consolidated Testing(7-10)'!$C:$C,B142,'[1]Consolidated Testing(7-10)'!$G:$G,C142,'[1]Consolidated Testing(7-10)'!$J:$J,1)</f>
        <v>0</v>
      </c>
      <c r="F142" s="11"/>
      <c r="G142" s="11"/>
      <c r="H142" s="11"/>
      <c r="I142" s="11"/>
    </row>
    <row r="143" spans="1:9" hidden="1" x14ac:dyDescent="0.3">
      <c r="A143" s="14" t="s">
        <v>121</v>
      </c>
      <c r="B143" s="12" t="s">
        <v>128</v>
      </c>
      <c r="C143" s="9" t="s">
        <v>251</v>
      </c>
      <c r="D143" s="10">
        <v>7</v>
      </c>
      <c r="E143" s="11">
        <f>COUNTIFS('[1]Consolidated Testing(7-10)'!$C:$C,B143,'[1]Consolidated Testing(7-10)'!$G:$G,C143,'[1]Consolidated Testing(7-10)'!$J:$J,1)</f>
        <v>0</v>
      </c>
      <c r="F143" s="11"/>
      <c r="G143" s="11"/>
      <c r="H143" s="11"/>
      <c r="I143" s="11"/>
    </row>
    <row r="144" spans="1:9" hidden="1" x14ac:dyDescent="0.3">
      <c r="A144" s="14" t="s">
        <v>121</v>
      </c>
      <c r="B144" s="8" t="s">
        <v>128</v>
      </c>
      <c r="C144" s="9" t="s">
        <v>252</v>
      </c>
      <c r="D144" s="10">
        <v>9</v>
      </c>
      <c r="E144" s="11">
        <f>COUNTIFS('[1]Consolidated Testing(7-10)'!$C:$C,B144,'[1]Consolidated Testing(7-10)'!$G:$G,C144,'[1]Consolidated Testing(7-10)'!$J:$J,1)</f>
        <v>0</v>
      </c>
      <c r="F144" s="11"/>
      <c r="G144" s="11"/>
      <c r="H144" s="11"/>
      <c r="I144" s="11"/>
    </row>
    <row r="145" spans="1:9" hidden="1" x14ac:dyDescent="0.3">
      <c r="A145" s="14" t="s">
        <v>121</v>
      </c>
      <c r="B145" s="8" t="s">
        <v>128</v>
      </c>
      <c r="C145" s="9" t="s">
        <v>253</v>
      </c>
      <c r="D145" s="10">
        <v>14</v>
      </c>
      <c r="E145" s="11">
        <f>COUNTIFS('[1]Consolidated Testing(7-10)'!$C:$C,B145,'[1]Consolidated Testing(7-10)'!$G:$G,C145,'[1]Consolidated Testing(7-10)'!$J:$J,1)</f>
        <v>0</v>
      </c>
      <c r="F145" s="11"/>
      <c r="G145" s="11"/>
      <c r="H145" s="11"/>
      <c r="I145" s="11"/>
    </row>
    <row r="146" spans="1:9" hidden="1" x14ac:dyDescent="0.3">
      <c r="A146" s="14" t="s">
        <v>121</v>
      </c>
      <c r="B146" s="12" t="s">
        <v>128</v>
      </c>
      <c r="C146" s="9" t="s">
        <v>254</v>
      </c>
      <c r="D146" s="10">
        <v>14</v>
      </c>
      <c r="E146" s="11">
        <f>COUNTIFS('[1]Consolidated Testing(7-10)'!$C:$C,B146,'[1]Consolidated Testing(7-10)'!$G:$G,C146,'[1]Consolidated Testing(7-10)'!$J:$J,1)</f>
        <v>0</v>
      </c>
      <c r="F146" s="11"/>
      <c r="G146" s="11"/>
      <c r="H146" s="11"/>
      <c r="I146" s="11"/>
    </row>
    <row r="147" spans="1:9" hidden="1" x14ac:dyDescent="0.3">
      <c r="A147" s="14" t="s">
        <v>121</v>
      </c>
      <c r="B147" s="8" t="s">
        <v>128</v>
      </c>
      <c r="C147" s="9" t="s">
        <v>255</v>
      </c>
      <c r="D147" s="10">
        <v>15</v>
      </c>
      <c r="E147" s="11">
        <f>COUNTIFS('[1]Consolidated Testing(7-10)'!$C:$C,B147,'[1]Consolidated Testing(7-10)'!$G:$G,C147,'[1]Consolidated Testing(7-10)'!$J:$J,1)</f>
        <v>0</v>
      </c>
      <c r="F147" s="11"/>
      <c r="G147" s="11"/>
      <c r="H147" s="11"/>
      <c r="I147" s="11"/>
    </row>
    <row r="148" spans="1:9" hidden="1" x14ac:dyDescent="0.3">
      <c r="A148" s="14" t="s">
        <v>162</v>
      </c>
      <c r="B148" s="8" t="s">
        <v>128</v>
      </c>
      <c r="C148" s="9" t="s">
        <v>256</v>
      </c>
      <c r="D148" s="10">
        <v>14</v>
      </c>
      <c r="E148" s="11">
        <f>COUNTIFS('[1]Consolidated Testing(7-10)'!$C:$C,B148,'[1]Consolidated Testing(7-10)'!$G:$G,C148,'[1]Consolidated Testing(7-10)'!$J:$J,1)</f>
        <v>0</v>
      </c>
      <c r="F148" s="11"/>
      <c r="G148" s="11"/>
      <c r="H148" s="11"/>
      <c r="I148" s="11"/>
    </row>
    <row r="149" spans="1:9" hidden="1" x14ac:dyDescent="0.3">
      <c r="A149" s="14" t="s">
        <v>100</v>
      </c>
      <c r="B149" s="9" t="s">
        <v>130</v>
      </c>
      <c r="C149" s="9" t="s">
        <v>257</v>
      </c>
      <c r="D149" s="10">
        <v>6</v>
      </c>
      <c r="E149" s="11">
        <f>COUNTIFS('[1]Consolidated Testing(7-10)'!$C:$C,B149,'[1]Consolidated Testing(7-10)'!$G:$G,C149,'[1]Consolidated Testing(7-10)'!$J:$J,1)</f>
        <v>0</v>
      </c>
      <c r="F149" s="11"/>
      <c r="G149" s="11"/>
      <c r="H149" s="11"/>
      <c r="I149" s="11"/>
    </row>
    <row r="150" spans="1:9" hidden="1" x14ac:dyDescent="0.3">
      <c r="A150" s="14" t="s">
        <v>100</v>
      </c>
      <c r="B150" s="9" t="s">
        <v>130</v>
      </c>
      <c r="C150" s="9" t="s">
        <v>258</v>
      </c>
      <c r="D150" s="10">
        <v>10</v>
      </c>
      <c r="E150" s="11">
        <f>COUNTIFS('[1]Consolidated Testing(7-10)'!$C:$C,B150,'[1]Consolidated Testing(7-10)'!$G:$G,C150,'[1]Consolidated Testing(7-10)'!$J:$J,1)</f>
        <v>0</v>
      </c>
      <c r="F150" s="11"/>
      <c r="G150" s="11"/>
      <c r="H150" s="11"/>
      <c r="I150" s="11"/>
    </row>
    <row r="151" spans="1:9" hidden="1" x14ac:dyDescent="0.3">
      <c r="A151" s="14" t="s">
        <v>113</v>
      </c>
      <c r="B151" s="8" t="s">
        <v>130</v>
      </c>
      <c r="C151" s="9" t="s">
        <v>259</v>
      </c>
      <c r="D151" s="13">
        <v>17</v>
      </c>
      <c r="E151" s="11">
        <f>COUNTIFS('[1]Consolidated Testing(7-10)'!$C:$C,B151,'[1]Consolidated Testing(7-10)'!$G:$G,C151,'[1]Consolidated Testing(7-10)'!$J:$J,1)</f>
        <v>0</v>
      </c>
      <c r="F151" s="11"/>
      <c r="G151" s="11"/>
      <c r="H151" s="11"/>
      <c r="I151" s="11"/>
    </row>
    <row r="152" spans="1:9" hidden="1" x14ac:dyDescent="0.3">
      <c r="A152" s="14" t="s">
        <v>121</v>
      </c>
      <c r="B152" s="9" t="s">
        <v>130</v>
      </c>
      <c r="C152" s="9" t="s">
        <v>260</v>
      </c>
      <c r="D152" s="10">
        <v>4</v>
      </c>
      <c r="E152" s="11">
        <f>COUNTIFS('[1]Consolidated Testing(7-10)'!$C:$C,B152,'[1]Consolidated Testing(7-10)'!$G:$G,C152,'[1]Consolidated Testing(7-10)'!$J:$J,1)</f>
        <v>0</v>
      </c>
      <c r="F152" s="11"/>
      <c r="G152" s="11"/>
      <c r="H152" s="11"/>
      <c r="I152" s="11"/>
    </row>
    <row r="153" spans="1:9" hidden="1" x14ac:dyDescent="0.3">
      <c r="A153" s="14" t="s">
        <v>162</v>
      </c>
      <c r="B153" s="9" t="s">
        <v>130</v>
      </c>
      <c r="C153" s="9" t="s">
        <v>261</v>
      </c>
      <c r="D153" s="10">
        <v>4</v>
      </c>
      <c r="E153" s="11">
        <f>COUNTIFS('[1]Consolidated Testing(7-10)'!$C:$C,B153,'[1]Consolidated Testing(7-10)'!$G:$G,C153,'[1]Consolidated Testing(7-10)'!$J:$J,1)</f>
        <v>0</v>
      </c>
      <c r="F153" s="11"/>
      <c r="G153" s="11"/>
      <c r="H153" s="11"/>
      <c r="I153" s="11"/>
    </row>
    <row r="154" spans="1:9" hidden="1" x14ac:dyDescent="0.3">
      <c r="A154" s="14" t="s">
        <v>121</v>
      </c>
      <c r="B154" s="8" t="s">
        <v>111</v>
      </c>
      <c r="C154" s="9" t="s">
        <v>262</v>
      </c>
      <c r="D154" s="10">
        <v>7</v>
      </c>
      <c r="E154" s="11">
        <f>COUNTIFS('[1]Consolidated Testing(7-10)'!$C:$C,B154,'[1]Consolidated Testing(7-10)'!$G:$G,C154,'[1]Consolidated Testing(7-10)'!$J:$J,1)</f>
        <v>1</v>
      </c>
      <c r="F154" s="11" t="e" cm="1" vm="81">
        <f t="array" aca="1" ref="F154" ca="1">[2]Macro_Commentary_Classification!$C$2:$C$46</f>
        <v>#VALUE!</v>
      </c>
      <c r="G154" s="11"/>
      <c r="H154" s="11"/>
      <c r="I154" s="11"/>
    </row>
    <row r="155" spans="1:9" hidden="1" x14ac:dyDescent="0.3">
      <c r="A155" s="14" t="s">
        <v>113</v>
      </c>
      <c r="B155" s="8" t="s">
        <v>136</v>
      </c>
      <c r="C155" s="9" t="s">
        <v>263</v>
      </c>
      <c r="D155" s="13">
        <v>4</v>
      </c>
      <c r="E155" s="11">
        <f>COUNTIFS('[1]Consolidated Testing(7-10)'!$C:$C,B155,'[1]Consolidated Testing(7-10)'!$G:$G,C155,'[1]Consolidated Testing(7-10)'!$J:$J,1)</f>
        <v>0</v>
      </c>
      <c r="F155" s="11"/>
      <c r="G155" s="11"/>
      <c r="H155" s="11"/>
      <c r="I155" s="11"/>
    </row>
    <row r="156" spans="1:9" hidden="1" x14ac:dyDescent="0.3">
      <c r="A156" s="14" t="s">
        <v>113</v>
      </c>
      <c r="B156" s="8" t="s">
        <v>136</v>
      </c>
      <c r="C156" s="9" t="s">
        <v>264</v>
      </c>
      <c r="D156" s="13">
        <v>6</v>
      </c>
      <c r="E156" s="11">
        <f>COUNTIFS('[1]Consolidated Testing(7-10)'!$C:$C,B156,'[1]Consolidated Testing(7-10)'!$G:$G,C156,'[1]Consolidated Testing(7-10)'!$J:$J,1)</f>
        <v>0</v>
      </c>
      <c r="F156" s="11"/>
      <c r="G156" s="11"/>
      <c r="H156" s="11"/>
      <c r="I156" s="11"/>
    </row>
    <row r="157" spans="1:9" hidden="1" x14ac:dyDescent="0.3">
      <c r="A157" s="14" t="s">
        <v>121</v>
      </c>
      <c r="B157" s="8" t="s">
        <v>111</v>
      </c>
      <c r="C157" s="9" t="s">
        <v>265</v>
      </c>
      <c r="D157" s="10">
        <v>7</v>
      </c>
      <c r="E157" s="11">
        <f>COUNTIFS('[1]Consolidated Testing(7-10)'!$C:$C,B157,'[1]Consolidated Testing(7-10)'!$G:$G,C157,'[1]Consolidated Testing(7-10)'!$J:$J,1)</f>
        <v>1</v>
      </c>
      <c r="F157" s="11" t="e" cm="1" vm="81">
        <f t="array" aca="1" ref="F157" ca="1">[2]Macro_Commentary_Classification!$C$2:$C$46</f>
        <v>#VALUE!</v>
      </c>
      <c r="G157" s="11"/>
      <c r="H157" s="11"/>
      <c r="I157" s="11"/>
    </row>
    <row r="158" spans="1:9" hidden="1" x14ac:dyDescent="0.3">
      <c r="A158" s="14" t="s">
        <v>121</v>
      </c>
      <c r="B158" s="12" t="s">
        <v>111</v>
      </c>
      <c r="C158" s="9" t="s">
        <v>266</v>
      </c>
      <c r="D158" s="10">
        <v>14</v>
      </c>
      <c r="E158" s="11">
        <f>COUNTIFS('[1]Consolidated Testing(7-10)'!$C:$C,B158,'[1]Consolidated Testing(7-10)'!$G:$G,C158,'[1]Consolidated Testing(7-10)'!$J:$J,1)</f>
        <v>1</v>
      </c>
      <c r="F158" s="11" t="e" cm="1" vm="81">
        <f t="array" aca="1" ref="F158" ca="1">[2]Macro_Commentary_Classification!$C$2:$C$46</f>
        <v>#VALUE!</v>
      </c>
      <c r="G158" s="11"/>
      <c r="H158" s="11"/>
      <c r="I158" s="11"/>
    </row>
    <row r="159" spans="1:9" hidden="1" x14ac:dyDescent="0.3">
      <c r="A159" s="14" t="s">
        <v>113</v>
      </c>
      <c r="B159" s="8" t="s">
        <v>136</v>
      </c>
      <c r="C159" s="9" t="s">
        <v>267</v>
      </c>
      <c r="D159" s="13">
        <v>6</v>
      </c>
      <c r="E159" s="11">
        <f>COUNTIFS('[1]Consolidated Testing(7-10)'!$C:$C,B159,'[1]Consolidated Testing(7-10)'!$G:$G,C159,'[1]Consolidated Testing(7-10)'!$J:$J,1)</f>
        <v>0</v>
      </c>
      <c r="F159" s="11"/>
      <c r="G159" s="11"/>
      <c r="H159" s="11"/>
      <c r="I159" s="11"/>
    </row>
    <row r="160" spans="1:9" hidden="1" x14ac:dyDescent="0.3">
      <c r="A160" s="14" t="s">
        <v>113</v>
      </c>
      <c r="B160" s="12" t="s">
        <v>136</v>
      </c>
      <c r="C160" s="9" t="s">
        <v>268</v>
      </c>
      <c r="D160" s="13">
        <v>6</v>
      </c>
      <c r="E160" s="11">
        <f>COUNTIFS('[1]Consolidated Testing(7-10)'!$C:$C,B160,'[1]Consolidated Testing(7-10)'!$G:$G,C160,'[1]Consolidated Testing(7-10)'!$J:$J,1)</f>
        <v>0</v>
      </c>
      <c r="F160" s="11"/>
      <c r="G160" s="11"/>
      <c r="H160" s="11"/>
      <c r="I160" s="11"/>
    </row>
    <row r="161" spans="1:9" hidden="1" x14ac:dyDescent="0.3">
      <c r="A161" s="14" t="s">
        <v>113</v>
      </c>
      <c r="B161" s="8" t="s">
        <v>136</v>
      </c>
      <c r="C161" s="9" t="s">
        <v>269</v>
      </c>
      <c r="D161" s="13">
        <v>8</v>
      </c>
      <c r="E161" s="11">
        <f>COUNTIFS('[1]Consolidated Testing(7-10)'!$C:$C,B161,'[1]Consolidated Testing(7-10)'!$G:$G,C161,'[1]Consolidated Testing(7-10)'!$J:$J,1)</f>
        <v>0</v>
      </c>
      <c r="F161" s="11"/>
      <c r="G161" s="11"/>
      <c r="H161" s="11"/>
      <c r="I161" s="11"/>
    </row>
    <row r="162" spans="1:9" hidden="1" x14ac:dyDescent="0.3">
      <c r="A162" s="14" t="s">
        <v>113</v>
      </c>
      <c r="B162" s="8" t="s">
        <v>136</v>
      </c>
      <c r="C162" s="19" t="s">
        <v>270</v>
      </c>
      <c r="D162" s="13">
        <v>8</v>
      </c>
      <c r="E162" s="11">
        <f>COUNTIFS('[1]Consolidated Testing(7-10)'!$C:$C,B162,'[1]Consolidated Testing(7-10)'!$G:$G,C162,'[1]Consolidated Testing(7-10)'!$J:$J,1)</f>
        <v>0</v>
      </c>
      <c r="F162" s="11"/>
      <c r="G162" s="11"/>
      <c r="H162" s="11"/>
      <c r="I162" s="11"/>
    </row>
    <row r="163" spans="1:9" hidden="1" x14ac:dyDescent="0.3">
      <c r="A163" s="14" t="s">
        <v>113</v>
      </c>
      <c r="B163" s="8" t="s">
        <v>136</v>
      </c>
      <c r="C163" s="9" t="s">
        <v>271</v>
      </c>
      <c r="D163" s="13">
        <v>10</v>
      </c>
      <c r="E163" s="11">
        <f>COUNTIFS('[1]Consolidated Testing(7-10)'!$C:$C,B163,'[1]Consolidated Testing(7-10)'!$G:$G,C163,'[1]Consolidated Testing(7-10)'!$J:$J,1)</f>
        <v>0</v>
      </c>
      <c r="F163" s="11"/>
      <c r="G163" s="11"/>
      <c r="H163" s="11"/>
      <c r="I163" s="11"/>
    </row>
    <row r="164" spans="1:9" hidden="1" x14ac:dyDescent="0.3">
      <c r="A164" s="14" t="s">
        <v>113</v>
      </c>
      <c r="B164" s="8" t="s">
        <v>136</v>
      </c>
      <c r="C164" s="9" t="s">
        <v>272</v>
      </c>
      <c r="D164" s="13">
        <v>6</v>
      </c>
      <c r="E164" s="11">
        <f>COUNTIFS('[1]Consolidated Testing(7-10)'!$C:$C,B164,'[1]Consolidated Testing(7-10)'!$G:$G,C164,'[1]Consolidated Testing(7-10)'!$J:$J,1)</f>
        <v>0</v>
      </c>
      <c r="F164" s="11"/>
      <c r="G164" s="11"/>
      <c r="H164" s="11"/>
      <c r="I164" s="11"/>
    </row>
    <row r="165" spans="1:9" hidden="1" x14ac:dyDescent="0.3">
      <c r="A165" s="14" t="s">
        <v>113</v>
      </c>
      <c r="B165" s="12" t="s">
        <v>136</v>
      </c>
      <c r="C165" s="9" t="s">
        <v>273</v>
      </c>
      <c r="D165" s="13">
        <v>7</v>
      </c>
      <c r="E165" s="11">
        <f>COUNTIFS('[1]Consolidated Testing(7-10)'!$C:$C,B165,'[1]Consolidated Testing(7-10)'!$G:$G,C165,'[1]Consolidated Testing(7-10)'!$J:$J,1)</f>
        <v>0</v>
      </c>
      <c r="F165" s="11"/>
      <c r="G165" s="11"/>
      <c r="H165" s="11"/>
      <c r="I165" s="11"/>
    </row>
    <row r="166" spans="1:9" hidden="1" x14ac:dyDescent="0.3">
      <c r="A166" s="14" t="s">
        <v>113</v>
      </c>
      <c r="B166" s="8" t="s">
        <v>136</v>
      </c>
      <c r="C166" s="9" t="s">
        <v>274</v>
      </c>
      <c r="D166" s="13">
        <v>8</v>
      </c>
      <c r="E166" s="11">
        <f>COUNTIFS('[1]Consolidated Testing(7-10)'!$C:$C,B166,'[1]Consolidated Testing(7-10)'!$G:$G,C166,'[1]Consolidated Testing(7-10)'!$J:$J,1)</f>
        <v>0</v>
      </c>
      <c r="F166" s="11"/>
      <c r="G166" s="11"/>
      <c r="H166" s="11"/>
      <c r="I166" s="11"/>
    </row>
    <row r="167" spans="1:9" hidden="1" x14ac:dyDescent="0.3">
      <c r="A167" s="14" t="s">
        <v>113</v>
      </c>
      <c r="B167" s="12" t="s">
        <v>136</v>
      </c>
      <c r="C167" s="9" t="s">
        <v>275</v>
      </c>
      <c r="D167" s="13">
        <v>4</v>
      </c>
      <c r="E167" s="11">
        <f>COUNTIFS('[1]Consolidated Testing(7-10)'!$C:$C,B167,'[1]Consolidated Testing(7-10)'!$G:$G,C167,'[1]Consolidated Testing(7-10)'!$J:$J,1)</f>
        <v>0</v>
      </c>
      <c r="F167" s="11"/>
      <c r="G167" s="11"/>
      <c r="H167" s="11"/>
      <c r="I167" s="11"/>
    </row>
    <row r="168" spans="1:9" hidden="1" x14ac:dyDescent="0.3">
      <c r="A168" s="14" t="s">
        <v>121</v>
      </c>
      <c r="B168" s="8" t="s">
        <v>128</v>
      </c>
      <c r="C168" s="9" t="s">
        <v>276</v>
      </c>
      <c r="D168" s="10">
        <v>8</v>
      </c>
      <c r="E168" s="11">
        <f>COUNTIFS('[1]Consolidated Testing(7-10)'!$C:$C,B168,'[1]Consolidated Testing(7-10)'!$G:$G,C168,'[1]Consolidated Testing(7-10)'!$J:$J,1)</f>
        <v>1</v>
      </c>
      <c r="F168" s="11" t="e" cm="1" vm="81">
        <f t="array" aca="1" ref="F168" ca="1">[2]Macro_Commentary_Classification!$C$2:$C$46</f>
        <v>#VALUE!</v>
      </c>
      <c r="G168" s="11"/>
      <c r="H168" s="11"/>
      <c r="I168" s="11"/>
    </row>
    <row r="169" spans="1:9" hidden="1" x14ac:dyDescent="0.3">
      <c r="A169" s="14" t="s">
        <v>121</v>
      </c>
      <c r="B169" s="12" t="s">
        <v>128</v>
      </c>
      <c r="C169" s="9" t="s">
        <v>277</v>
      </c>
      <c r="D169" s="10">
        <v>8</v>
      </c>
      <c r="E169" s="11">
        <f>COUNTIFS('[1]Consolidated Testing(7-10)'!$C:$C,B169,'[1]Consolidated Testing(7-10)'!$G:$G,C169,'[1]Consolidated Testing(7-10)'!$J:$J,1)</f>
        <v>1</v>
      </c>
      <c r="F169" s="11" t="e" cm="1" vm="81">
        <f t="array" aca="1" ref="F169" ca="1">[2]Macro_Commentary_Classification!$C$2:$C$46</f>
        <v>#VALUE!</v>
      </c>
      <c r="G169" s="11"/>
      <c r="H169" s="11"/>
      <c r="I169" s="11"/>
    </row>
    <row r="170" spans="1:9" hidden="1" x14ac:dyDescent="0.3">
      <c r="A170" s="14" t="s">
        <v>121</v>
      </c>
      <c r="B170" s="8" t="s">
        <v>128</v>
      </c>
      <c r="C170" s="9" t="s">
        <v>278</v>
      </c>
      <c r="D170" s="10">
        <v>8</v>
      </c>
      <c r="E170" s="11">
        <f>COUNTIFS('[1]Consolidated Testing(7-10)'!$C:$C,B170,'[1]Consolidated Testing(7-10)'!$G:$G,C170,'[1]Consolidated Testing(7-10)'!$J:$J,1)</f>
        <v>1</v>
      </c>
      <c r="F170" s="11" t="e" cm="1" vm="81">
        <f t="array" aca="1" ref="F170" ca="1">[2]Macro_Commentary_Classification!$C$2:$C$46</f>
        <v>#VALUE!</v>
      </c>
      <c r="G170" s="11"/>
      <c r="H170" s="11"/>
      <c r="I170" s="11"/>
    </row>
    <row r="171" spans="1:9" hidden="1" x14ac:dyDescent="0.3">
      <c r="A171" s="14" t="s">
        <v>121</v>
      </c>
      <c r="B171" s="8" t="s">
        <v>128</v>
      </c>
      <c r="C171" s="9" t="s">
        <v>279</v>
      </c>
      <c r="D171" s="10">
        <v>8</v>
      </c>
      <c r="E171" s="11">
        <f>COUNTIFS('[1]Consolidated Testing(7-10)'!$C:$C,B171,'[1]Consolidated Testing(7-10)'!$G:$G,C171,'[1]Consolidated Testing(7-10)'!$J:$J,1)</f>
        <v>1</v>
      </c>
      <c r="F171" s="11" t="e" cm="1" vm="81">
        <f t="array" aca="1" ref="F171" ca="1">[2]Macro_Commentary_Classification!$C$2:$C$46</f>
        <v>#VALUE!</v>
      </c>
      <c r="G171" s="11"/>
      <c r="H171" s="11"/>
      <c r="I171" s="11"/>
    </row>
    <row r="172" spans="1:9" hidden="1" x14ac:dyDescent="0.3">
      <c r="A172" s="14" t="s">
        <v>113</v>
      </c>
      <c r="B172" s="8" t="s">
        <v>136</v>
      </c>
      <c r="C172" s="9" t="s">
        <v>280</v>
      </c>
      <c r="D172" s="13">
        <v>6</v>
      </c>
      <c r="E172" s="11">
        <f>COUNTIFS('[1]Consolidated Testing(7-10)'!$C:$C,B172,'[1]Consolidated Testing(7-10)'!$G:$G,C172,'[1]Consolidated Testing(7-10)'!$J:$J,1)</f>
        <v>0</v>
      </c>
      <c r="F172" s="11"/>
      <c r="G172" s="11"/>
      <c r="H172" s="11"/>
      <c r="I172" s="11"/>
    </row>
    <row r="173" spans="1:9" hidden="1" x14ac:dyDescent="0.3">
      <c r="A173" s="14" t="s">
        <v>113</v>
      </c>
      <c r="B173" s="8" t="s">
        <v>136</v>
      </c>
      <c r="C173" s="9" t="s">
        <v>281</v>
      </c>
      <c r="D173" s="13">
        <v>4</v>
      </c>
      <c r="E173" s="11">
        <f>COUNTIFS('[1]Consolidated Testing(7-10)'!$C:$C,B173,'[1]Consolidated Testing(7-10)'!$G:$G,C173,'[1]Consolidated Testing(7-10)'!$J:$J,1)</f>
        <v>0</v>
      </c>
      <c r="F173" s="11"/>
      <c r="G173" s="11"/>
      <c r="H173" s="11"/>
      <c r="I173" s="11"/>
    </row>
    <row r="174" spans="1:9" hidden="1" x14ac:dyDescent="0.3">
      <c r="A174" s="14" t="s">
        <v>121</v>
      </c>
      <c r="B174" s="12" t="s">
        <v>136</v>
      </c>
      <c r="C174" s="9" t="s">
        <v>282</v>
      </c>
      <c r="D174" s="10">
        <v>7</v>
      </c>
      <c r="E174" s="11">
        <f>COUNTIFS('[1]Consolidated Testing(7-10)'!$C:$C,B174,'[1]Consolidated Testing(7-10)'!$G:$G,C174,'[1]Consolidated Testing(7-10)'!$J:$J,1)</f>
        <v>0</v>
      </c>
      <c r="F174" s="11"/>
      <c r="G174" s="11"/>
      <c r="H174" s="11"/>
      <c r="I174" s="11"/>
    </row>
    <row r="175" spans="1:9" hidden="1" x14ac:dyDescent="0.3">
      <c r="A175" s="14" t="s">
        <v>121</v>
      </c>
      <c r="B175" s="12" t="s">
        <v>136</v>
      </c>
      <c r="C175" s="9" t="s">
        <v>283</v>
      </c>
      <c r="D175" s="10">
        <v>9</v>
      </c>
      <c r="E175" s="11">
        <f>COUNTIFS('[1]Consolidated Testing(7-10)'!$C:$C,B175,'[1]Consolidated Testing(7-10)'!$G:$G,C175,'[1]Consolidated Testing(7-10)'!$J:$J,1)</f>
        <v>0</v>
      </c>
      <c r="F175" s="11"/>
      <c r="G175" s="11"/>
      <c r="H175" s="11"/>
      <c r="I175" s="11"/>
    </row>
    <row r="176" spans="1:9" hidden="1" x14ac:dyDescent="0.3">
      <c r="A176" s="14" t="s">
        <v>121</v>
      </c>
      <c r="B176" s="8" t="s">
        <v>136</v>
      </c>
      <c r="C176" s="9" t="s">
        <v>284</v>
      </c>
      <c r="D176" s="10">
        <v>9</v>
      </c>
      <c r="E176" s="11">
        <f>COUNTIFS('[1]Consolidated Testing(7-10)'!$C:$C,B176,'[1]Consolidated Testing(7-10)'!$G:$G,C176,'[1]Consolidated Testing(7-10)'!$J:$J,1)</f>
        <v>0</v>
      </c>
      <c r="F176" s="11"/>
      <c r="G176" s="11"/>
      <c r="H176" s="11"/>
      <c r="I176" s="11"/>
    </row>
    <row r="177" spans="1:9" hidden="1" x14ac:dyDescent="0.3">
      <c r="A177" s="14" t="s">
        <v>121</v>
      </c>
      <c r="B177" s="9" t="s">
        <v>130</v>
      </c>
      <c r="C177" s="9" t="s">
        <v>285</v>
      </c>
      <c r="D177" s="10">
        <v>7</v>
      </c>
      <c r="E177" s="11">
        <f>COUNTIFS('[1]Consolidated Testing(7-10)'!$C:$C,B177,'[1]Consolidated Testing(7-10)'!$G:$G,C177,'[1]Consolidated Testing(7-10)'!$J:$J,1)</f>
        <v>1</v>
      </c>
      <c r="F177" s="11" t="e" cm="1" vm="81">
        <f t="array" aca="1" ref="F177" ca="1">[2]Macro_Commentary_Classification!$C$2:$C$46</f>
        <v>#VALUE!</v>
      </c>
      <c r="G177" s="11"/>
      <c r="H177" s="11"/>
      <c r="I177" s="11"/>
    </row>
    <row r="178" spans="1:9" hidden="1" x14ac:dyDescent="0.3">
      <c r="A178" s="14" t="s">
        <v>121</v>
      </c>
      <c r="B178" s="8" t="s">
        <v>136</v>
      </c>
      <c r="C178" s="9" t="s">
        <v>286</v>
      </c>
      <c r="D178" s="10">
        <v>9</v>
      </c>
      <c r="E178" s="11">
        <f>COUNTIFS('[1]Consolidated Testing(7-10)'!$C:$C,B178,'[1]Consolidated Testing(7-10)'!$G:$G,C178,'[1]Consolidated Testing(7-10)'!$J:$J,1)</f>
        <v>0</v>
      </c>
      <c r="F178" s="11"/>
      <c r="G178" s="11"/>
      <c r="H178" s="11"/>
      <c r="I178" s="11"/>
    </row>
    <row r="179" spans="1:9" hidden="1" x14ac:dyDescent="0.3">
      <c r="A179" s="14" t="s">
        <v>121</v>
      </c>
      <c r="B179" s="8" t="s">
        <v>136</v>
      </c>
      <c r="C179" s="9" t="s">
        <v>287</v>
      </c>
      <c r="D179" s="10">
        <v>8</v>
      </c>
      <c r="E179" s="11">
        <f>COUNTIFS('[1]Consolidated Testing(7-10)'!$C:$C,B179,'[1]Consolidated Testing(7-10)'!$G:$G,C179,'[1]Consolidated Testing(7-10)'!$J:$J,1)</f>
        <v>1</v>
      </c>
      <c r="F179" s="11" t="e" cm="1" vm="81">
        <f t="array" aca="1" ref="F179" ca="1">[2]Macro_Commentary_Classification!$C$2:$C$46</f>
        <v>#VALUE!</v>
      </c>
      <c r="G179" s="11"/>
      <c r="H179" s="11"/>
      <c r="I179" s="11"/>
    </row>
    <row r="180" spans="1:9" hidden="1" x14ac:dyDescent="0.3">
      <c r="A180" s="14" t="s">
        <v>121</v>
      </c>
      <c r="B180" s="8" t="s">
        <v>136</v>
      </c>
      <c r="C180" s="9" t="s">
        <v>288</v>
      </c>
      <c r="D180" s="10">
        <v>8</v>
      </c>
      <c r="E180" s="11">
        <f>COUNTIFS('[1]Consolidated Testing(7-10)'!$C:$C,B180,'[1]Consolidated Testing(7-10)'!$G:$G,C180,'[1]Consolidated Testing(7-10)'!$J:$J,1)</f>
        <v>1</v>
      </c>
      <c r="F180" s="11" t="e" cm="1" vm="81">
        <f t="array" aca="1" ref="F180" ca="1">[2]Macro_Commentary_Classification!$C$2:$C$46</f>
        <v>#VALUE!</v>
      </c>
      <c r="G180" s="11"/>
      <c r="H180" s="11"/>
      <c r="I180" s="11"/>
    </row>
    <row r="181" spans="1:9" hidden="1" x14ac:dyDescent="0.3">
      <c r="A181" s="14" t="s">
        <v>121</v>
      </c>
      <c r="B181" s="8" t="s">
        <v>136</v>
      </c>
      <c r="C181" s="9" t="s">
        <v>289</v>
      </c>
      <c r="D181" s="10">
        <v>10</v>
      </c>
      <c r="E181" s="11">
        <f>COUNTIFS('[1]Consolidated Testing(7-10)'!$C:$C,B181,'[1]Consolidated Testing(7-10)'!$G:$G,C181,'[1]Consolidated Testing(7-10)'!$J:$J,1)</f>
        <v>0</v>
      </c>
      <c r="F181" s="11"/>
      <c r="G181" s="11"/>
      <c r="H181" s="11"/>
      <c r="I181" s="11"/>
    </row>
    <row r="182" spans="1:9" hidden="1" x14ac:dyDescent="0.3">
      <c r="A182" s="14" t="s">
        <v>162</v>
      </c>
      <c r="B182" s="8" t="s">
        <v>136</v>
      </c>
      <c r="C182" s="9" t="s">
        <v>290</v>
      </c>
      <c r="D182" s="10">
        <v>6</v>
      </c>
      <c r="E182" s="11">
        <f>COUNTIFS('[1]Consolidated Testing(7-10)'!$C:$C,B182,'[1]Consolidated Testing(7-10)'!$G:$G,C182,'[1]Consolidated Testing(7-10)'!$J:$J,1)</f>
        <v>0</v>
      </c>
      <c r="F182" s="11"/>
      <c r="G182" s="11"/>
      <c r="H182" s="11"/>
      <c r="I182" s="11"/>
    </row>
    <row r="183" spans="1:9" hidden="1" x14ac:dyDescent="0.3">
      <c r="A183" s="14" t="s">
        <v>162</v>
      </c>
      <c r="B183" s="8" t="s">
        <v>136</v>
      </c>
      <c r="C183" s="9" t="s">
        <v>291</v>
      </c>
      <c r="D183" s="10">
        <v>8</v>
      </c>
      <c r="E183" s="11">
        <f>COUNTIFS('[1]Consolidated Testing(7-10)'!$C:$C,B183,'[1]Consolidated Testing(7-10)'!$G:$G,C183,'[1]Consolidated Testing(7-10)'!$J:$J,1)</f>
        <v>0</v>
      </c>
      <c r="F183" s="11"/>
      <c r="G183" s="11"/>
      <c r="H183" s="11"/>
      <c r="I183" s="11"/>
    </row>
    <row r="184" spans="1:9" hidden="1" x14ac:dyDescent="0.3">
      <c r="A184" s="14" t="s">
        <v>162</v>
      </c>
      <c r="B184" s="8" t="s">
        <v>136</v>
      </c>
      <c r="C184" s="9" t="s">
        <v>292</v>
      </c>
      <c r="D184" s="10">
        <v>8</v>
      </c>
      <c r="E184" s="11">
        <f>COUNTIFS('[1]Consolidated Testing(7-10)'!$C:$C,B184,'[1]Consolidated Testing(7-10)'!$G:$G,C184,'[1]Consolidated Testing(7-10)'!$J:$J,1)</f>
        <v>0</v>
      </c>
      <c r="F184" s="11"/>
      <c r="G184" s="11"/>
      <c r="H184" s="11"/>
      <c r="I184" s="11"/>
    </row>
    <row r="185" spans="1:9" hidden="1" x14ac:dyDescent="0.3">
      <c r="A185" s="14" t="s">
        <v>162</v>
      </c>
      <c r="B185" s="8" t="s">
        <v>136</v>
      </c>
      <c r="C185" s="9" t="s">
        <v>293</v>
      </c>
      <c r="D185" s="10">
        <v>5</v>
      </c>
      <c r="E185" s="11">
        <f>COUNTIFS('[1]Consolidated Testing(7-10)'!$C:$C,B185,'[1]Consolidated Testing(7-10)'!$G:$G,C185,'[1]Consolidated Testing(7-10)'!$J:$J,1)</f>
        <v>0</v>
      </c>
      <c r="F185" s="11"/>
      <c r="G185" s="11"/>
      <c r="H185" s="11"/>
      <c r="I185" s="11"/>
    </row>
    <row r="186" spans="1:9" hidden="1" x14ac:dyDescent="0.3">
      <c r="A186" s="14" t="s">
        <v>162</v>
      </c>
      <c r="B186" s="8" t="s">
        <v>136</v>
      </c>
      <c r="C186" s="9" t="s">
        <v>294</v>
      </c>
      <c r="D186" s="10">
        <v>6</v>
      </c>
      <c r="E186" s="11">
        <f>COUNTIFS('[1]Consolidated Testing(7-10)'!$C:$C,B186,'[1]Consolidated Testing(7-10)'!$G:$G,C186,'[1]Consolidated Testing(7-10)'!$J:$J,1)</f>
        <v>0</v>
      </c>
      <c r="F186" s="11"/>
      <c r="G186" s="11"/>
      <c r="H186" s="11"/>
      <c r="I186" s="11"/>
    </row>
    <row r="187" spans="1:9" hidden="1" x14ac:dyDescent="0.3">
      <c r="A187" s="14" t="s">
        <v>162</v>
      </c>
      <c r="B187" s="12" t="s">
        <v>136</v>
      </c>
      <c r="C187" s="9" t="s">
        <v>295</v>
      </c>
      <c r="D187" s="10">
        <v>5</v>
      </c>
      <c r="E187" s="11">
        <f>COUNTIFS('[1]Consolidated Testing(7-10)'!$C:$C,B187,'[1]Consolidated Testing(7-10)'!$G:$G,C187,'[1]Consolidated Testing(7-10)'!$J:$J,1)</f>
        <v>0</v>
      </c>
      <c r="F187" s="11"/>
      <c r="G187" s="11"/>
      <c r="H187" s="11"/>
      <c r="I187" s="11"/>
    </row>
    <row r="188" spans="1:9" hidden="1" x14ac:dyDescent="0.3">
      <c r="A188" s="14" t="s">
        <v>162</v>
      </c>
      <c r="B188" s="8" t="s">
        <v>136</v>
      </c>
      <c r="C188" s="9" t="s">
        <v>296</v>
      </c>
      <c r="D188" s="10">
        <v>5</v>
      </c>
      <c r="E188" s="11">
        <f>COUNTIFS('[1]Consolidated Testing(7-10)'!$C:$C,B188,'[1]Consolidated Testing(7-10)'!$G:$G,C188,'[1]Consolidated Testing(7-10)'!$J:$J,1)</f>
        <v>0</v>
      </c>
      <c r="F188" s="11"/>
      <c r="G188" s="11"/>
      <c r="H188" s="11"/>
      <c r="I188" s="11"/>
    </row>
    <row r="189" spans="1:9" hidden="1" x14ac:dyDescent="0.3">
      <c r="A189" s="14" t="s">
        <v>100</v>
      </c>
      <c r="B189" s="9" t="s">
        <v>228</v>
      </c>
      <c r="C189" s="9" t="s">
        <v>297</v>
      </c>
      <c r="D189" s="10">
        <v>4</v>
      </c>
      <c r="E189" s="11">
        <f>COUNTIFS('[1]Consolidated Testing(7-10)'!$C:$C,B189,'[1]Consolidated Testing(7-10)'!$G:$G,C189,'[1]Consolidated Testing(7-10)'!$J:$J,1)</f>
        <v>0</v>
      </c>
      <c r="F189" s="11"/>
      <c r="G189" s="11"/>
      <c r="H189" s="11"/>
      <c r="I189" s="11"/>
    </row>
    <row r="190" spans="1:9" hidden="1" x14ac:dyDescent="0.3">
      <c r="A190" s="14" t="s">
        <v>100</v>
      </c>
      <c r="B190" s="14" t="s">
        <v>228</v>
      </c>
      <c r="C190" s="9" t="s">
        <v>298</v>
      </c>
      <c r="D190" s="10">
        <v>5</v>
      </c>
      <c r="E190" s="11">
        <f>COUNTIFS('[1]Consolidated Testing(7-10)'!$C:$C,B190,'[1]Consolidated Testing(7-10)'!$G:$G,C190,'[1]Consolidated Testing(7-10)'!$J:$J,1)</f>
        <v>0</v>
      </c>
      <c r="F190" s="11"/>
      <c r="G190" s="11"/>
      <c r="H190" s="11"/>
      <c r="I190" s="11"/>
    </row>
    <row r="191" spans="1:9" hidden="1" x14ac:dyDescent="0.3">
      <c r="A191" s="14" t="s">
        <v>100</v>
      </c>
      <c r="B191" s="14" t="s">
        <v>228</v>
      </c>
      <c r="C191" s="9" t="s">
        <v>299</v>
      </c>
      <c r="D191" s="10">
        <v>5</v>
      </c>
      <c r="E191" s="11">
        <f>COUNTIFS('[1]Consolidated Testing(7-10)'!$C:$C,B191,'[1]Consolidated Testing(7-10)'!$G:$G,C191,'[1]Consolidated Testing(7-10)'!$J:$J,1)</f>
        <v>0</v>
      </c>
      <c r="F191" s="11"/>
      <c r="G191" s="11"/>
      <c r="H191" s="11"/>
      <c r="I191" s="11"/>
    </row>
    <row r="192" spans="1:9" hidden="1" x14ac:dyDescent="0.3">
      <c r="A192" s="14" t="s">
        <v>100</v>
      </c>
      <c r="B192" s="14" t="s">
        <v>228</v>
      </c>
      <c r="C192" s="9" t="s">
        <v>300</v>
      </c>
      <c r="D192" s="10">
        <v>6</v>
      </c>
      <c r="E192" s="11">
        <f>COUNTIFS('[1]Consolidated Testing(7-10)'!$C:$C,B192,'[1]Consolidated Testing(7-10)'!$G:$G,C192,'[1]Consolidated Testing(7-10)'!$J:$J,1)</f>
        <v>0</v>
      </c>
      <c r="F192" s="11"/>
      <c r="G192" s="11"/>
      <c r="H192" s="11"/>
      <c r="I192" s="11"/>
    </row>
    <row r="193" spans="1:9" hidden="1" x14ac:dyDescent="0.3">
      <c r="A193" s="14" t="s">
        <v>100</v>
      </c>
      <c r="B193" s="14" t="s">
        <v>228</v>
      </c>
      <c r="C193" s="9" t="s">
        <v>301</v>
      </c>
      <c r="D193" s="10">
        <v>6</v>
      </c>
      <c r="E193" s="11">
        <f>COUNTIFS('[1]Consolidated Testing(7-10)'!$C:$C,B193,'[1]Consolidated Testing(7-10)'!$G:$G,C193,'[1]Consolidated Testing(7-10)'!$J:$J,1)</f>
        <v>0</v>
      </c>
      <c r="F193" s="11"/>
      <c r="G193" s="11"/>
      <c r="H193" s="11"/>
      <c r="I193" s="11"/>
    </row>
    <row r="194" spans="1:9" hidden="1" x14ac:dyDescent="0.3">
      <c r="A194" s="14" t="s">
        <v>113</v>
      </c>
      <c r="B194" s="12" t="s">
        <v>228</v>
      </c>
      <c r="C194" s="9" t="s">
        <v>302</v>
      </c>
      <c r="D194" s="13">
        <v>17</v>
      </c>
      <c r="E194" s="11">
        <f>COUNTIFS('[1]Consolidated Testing(7-10)'!$C:$C,B194,'[1]Consolidated Testing(7-10)'!$G:$G,C194,'[1]Consolidated Testing(7-10)'!$J:$J,1)</f>
        <v>1</v>
      </c>
      <c r="F194" s="11" t="e" cm="1" vm="81">
        <f t="array" aca="1" ref="F194" ca="1">[2]Macro_Commentary_Classification!$C$2:$C$46</f>
        <v>#VALUE!</v>
      </c>
      <c r="G194" s="11"/>
      <c r="H194" s="11"/>
      <c r="I194" s="11"/>
    </row>
    <row r="195" spans="1:9" hidden="1" x14ac:dyDescent="0.3">
      <c r="A195" s="14" t="s">
        <v>100</v>
      </c>
      <c r="B195" s="14" t="s">
        <v>228</v>
      </c>
      <c r="C195" s="9" t="s">
        <v>303</v>
      </c>
      <c r="D195" s="10">
        <v>6</v>
      </c>
      <c r="E195" s="11">
        <f>COUNTIFS('[1]Consolidated Testing(7-10)'!$C:$C,B195,'[1]Consolidated Testing(7-10)'!$G:$G,C195,'[1]Consolidated Testing(7-10)'!$J:$J,1)</f>
        <v>0</v>
      </c>
      <c r="F195" s="11"/>
      <c r="G195" s="11"/>
      <c r="H195" s="11"/>
      <c r="I195" s="11"/>
    </row>
    <row r="196" spans="1:9" hidden="1" x14ac:dyDescent="0.3">
      <c r="A196" s="14" t="s">
        <v>100</v>
      </c>
      <c r="B196" s="9" t="s">
        <v>228</v>
      </c>
      <c r="C196" s="9" t="s">
        <v>304</v>
      </c>
      <c r="D196" s="10">
        <v>6</v>
      </c>
      <c r="E196" s="11">
        <f>COUNTIFS('[1]Consolidated Testing(7-10)'!$C:$C,B196,'[1]Consolidated Testing(7-10)'!$G:$G,C196,'[1]Consolidated Testing(7-10)'!$J:$J,1)</f>
        <v>0</v>
      </c>
      <c r="F196" s="11"/>
      <c r="G196" s="11"/>
      <c r="H196" s="11"/>
      <c r="I196" s="11"/>
    </row>
    <row r="197" spans="1:9" hidden="1" x14ac:dyDescent="0.3">
      <c r="A197" s="14" t="s">
        <v>113</v>
      </c>
      <c r="B197" s="8" t="s">
        <v>228</v>
      </c>
      <c r="C197" s="9" t="s">
        <v>305</v>
      </c>
      <c r="D197" s="13">
        <v>4</v>
      </c>
      <c r="E197" s="11">
        <f>COUNTIFS('[1]Consolidated Testing(7-10)'!$C:$C,B197,'[1]Consolidated Testing(7-10)'!$G:$G,C197,'[1]Consolidated Testing(7-10)'!$J:$J,1)</f>
        <v>1</v>
      </c>
      <c r="F197" s="11" t="e" cm="1" vm="81">
        <f t="array" aca="1" ref="F197" ca="1">[2]Macro_Commentary_Classification!$C$2:$C$46</f>
        <v>#VALUE!</v>
      </c>
      <c r="G197" s="11"/>
      <c r="H197" s="11"/>
      <c r="I197" s="11"/>
    </row>
    <row r="198" spans="1:9" hidden="1" x14ac:dyDescent="0.3">
      <c r="A198" s="14" t="s">
        <v>113</v>
      </c>
      <c r="B198" s="8" t="s">
        <v>228</v>
      </c>
      <c r="C198" s="9" t="s">
        <v>306</v>
      </c>
      <c r="D198" s="13">
        <v>9</v>
      </c>
      <c r="E198" s="11">
        <f>COUNTIFS('[1]Consolidated Testing(7-10)'!$C:$C,B198,'[1]Consolidated Testing(7-10)'!$G:$G,C198,'[1]Consolidated Testing(7-10)'!$J:$J,1)</f>
        <v>1</v>
      </c>
      <c r="F198" s="11" t="e" cm="1" vm="81">
        <f t="array" aca="1" ref="F198" ca="1">[2]Macro_Commentary_Classification!$C$2:$C$46</f>
        <v>#VALUE!</v>
      </c>
      <c r="G198" s="11"/>
      <c r="H198" s="11"/>
      <c r="I198" s="11"/>
    </row>
    <row r="199" spans="1:9" hidden="1" x14ac:dyDescent="0.3">
      <c r="A199" s="14" t="s">
        <v>100</v>
      </c>
      <c r="B199" s="9" t="s">
        <v>228</v>
      </c>
      <c r="C199" s="8" t="s">
        <v>303</v>
      </c>
      <c r="D199" s="10">
        <v>6</v>
      </c>
      <c r="E199" s="11">
        <f>COUNTIFS('[1]Consolidated Testing(7-10)'!$C:$C,B199,'[1]Consolidated Testing(7-10)'!$G:$G,C199,'[1]Consolidated Testing(7-10)'!$J:$J,1)</f>
        <v>0</v>
      </c>
      <c r="F199" s="11"/>
      <c r="G199" s="11"/>
      <c r="H199" s="11"/>
      <c r="I199" s="11"/>
    </row>
    <row r="200" spans="1:9" hidden="1" x14ac:dyDescent="0.3">
      <c r="A200" s="14" t="s">
        <v>113</v>
      </c>
      <c r="B200" s="8" t="s">
        <v>228</v>
      </c>
      <c r="C200" s="9" t="s">
        <v>307</v>
      </c>
      <c r="D200" s="13">
        <v>9</v>
      </c>
      <c r="E200" s="11">
        <f>COUNTIFS('[1]Consolidated Testing(7-10)'!$C:$C,B200,'[1]Consolidated Testing(7-10)'!$G:$G,C200,'[1]Consolidated Testing(7-10)'!$J:$J,1)</f>
        <v>1</v>
      </c>
      <c r="F200" s="11" t="e" cm="1" vm="81">
        <f t="array" aca="1" ref="F200" ca="1">[2]Macro_Commentary_Classification!$C$2:$C$46</f>
        <v>#VALUE!</v>
      </c>
      <c r="G200" s="11"/>
      <c r="H200" s="11"/>
      <c r="I200" s="11"/>
    </row>
    <row r="201" spans="1:9" hidden="1" x14ac:dyDescent="0.3">
      <c r="A201" s="14" t="s">
        <v>100</v>
      </c>
      <c r="B201" s="9" t="s">
        <v>228</v>
      </c>
      <c r="C201" s="9" t="s">
        <v>308</v>
      </c>
      <c r="D201" s="10">
        <v>8</v>
      </c>
      <c r="E201" s="11">
        <f>COUNTIFS('[1]Consolidated Testing(7-10)'!$C:$C,B201,'[1]Consolidated Testing(7-10)'!$G:$G,C201,'[1]Consolidated Testing(7-10)'!$J:$J,1)</f>
        <v>0</v>
      </c>
      <c r="F201" s="11"/>
      <c r="G201" s="11"/>
      <c r="H201" s="11"/>
      <c r="I201" s="11"/>
    </row>
    <row r="202" spans="1:9" hidden="1" x14ac:dyDescent="0.3">
      <c r="A202" s="14" t="s">
        <v>100</v>
      </c>
      <c r="B202" s="9" t="s">
        <v>228</v>
      </c>
      <c r="C202" s="16" t="s">
        <v>309</v>
      </c>
      <c r="D202" s="17">
        <v>12</v>
      </c>
      <c r="E202" s="11">
        <f>COUNTIFS('[1]Consolidated Testing(7-10)'!$C:$C,B202,'[1]Consolidated Testing(7-10)'!$G:$G,C202,'[1]Consolidated Testing(7-10)'!$J:$J,1)</f>
        <v>0</v>
      </c>
      <c r="F202" s="11"/>
      <c r="G202" s="11"/>
      <c r="H202" s="11"/>
      <c r="I202" s="11"/>
    </row>
    <row r="203" spans="1:9" hidden="1" x14ac:dyDescent="0.3">
      <c r="A203" s="14" t="s">
        <v>162</v>
      </c>
      <c r="B203" s="8" t="s">
        <v>101</v>
      </c>
      <c r="C203" s="14" t="s">
        <v>310</v>
      </c>
      <c r="D203" s="10">
        <v>4</v>
      </c>
      <c r="E203" s="11">
        <f>COUNTIFS('[1]Consolidated Testing(7-10)'!$C:$C,B203,'[1]Consolidated Testing(7-10)'!$G:$G,C203,'[1]Consolidated Testing(7-10)'!$J:$J,1)</f>
        <v>2</v>
      </c>
      <c r="F203" s="11" t="e" cm="1" vm="81">
        <f t="array" aca="1" ref="F203" ca="1">[2]Macro_Commentary_Classification!$C$2:$C$46</f>
        <v>#VALUE!</v>
      </c>
      <c r="G203" s="11"/>
      <c r="H203" s="11"/>
      <c r="I203" s="11"/>
    </row>
    <row r="204" spans="1:9" hidden="1" x14ac:dyDescent="0.3">
      <c r="A204" s="14" t="s">
        <v>121</v>
      </c>
      <c r="B204" s="9" t="s">
        <v>228</v>
      </c>
      <c r="C204" s="14" t="s">
        <v>311</v>
      </c>
      <c r="D204" s="10">
        <v>4</v>
      </c>
      <c r="E204" s="11">
        <f>COUNTIFS('[1]Consolidated Testing(7-10)'!$C:$C,B204,'[1]Consolidated Testing(7-10)'!$G:$G,C204,'[1]Consolidated Testing(7-10)'!$J:$J,1)</f>
        <v>1</v>
      </c>
      <c r="F204" s="11" t="e" cm="1" vm="81">
        <f t="array" aca="1" ref="F204" ca="1">[2]Macro_Commentary_Classification!$C$2:$C$46</f>
        <v>#VALUE!</v>
      </c>
      <c r="G204" s="11"/>
      <c r="H204" s="11"/>
      <c r="I204" s="11"/>
    </row>
    <row r="205" spans="1:9" hidden="1" x14ac:dyDescent="0.3">
      <c r="A205" s="14" t="s">
        <v>162</v>
      </c>
      <c r="B205" s="8" t="s">
        <v>101</v>
      </c>
      <c r="C205" s="14" t="s">
        <v>312</v>
      </c>
      <c r="D205" s="10">
        <v>4</v>
      </c>
      <c r="E205" s="11">
        <f>COUNTIFS('[1]Consolidated Testing(7-10)'!$C:$C,B205,'[1]Consolidated Testing(7-10)'!$G:$G,C205,'[1]Consolidated Testing(7-10)'!$J:$J,1)</f>
        <v>1</v>
      </c>
      <c r="F205" s="11" t="e" cm="1" vm="81">
        <f t="array" aca="1" ref="F205" ca="1">[2]Macro_Commentary_Classification!$C$2:$C$46</f>
        <v>#VALUE!</v>
      </c>
      <c r="G205" s="11"/>
      <c r="H205" s="11"/>
      <c r="I205" s="11"/>
    </row>
    <row r="206" spans="1:9" hidden="1" x14ac:dyDescent="0.3">
      <c r="A206" s="14" t="s">
        <v>100</v>
      </c>
      <c r="B206" s="9" t="s">
        <v>228</v>
      </c>
      <c r="C206" s="14" t="s">
        <v>313</v>
      </c>
      <c r="D206" s="10">
        <v>13</v>
      </c>
      <c r="E206" s="11">
        <f>COUNTIFS('[1]Consolidated Testing(7-10)'!$C:$C,B206,'[1]Consolidated Testing(7-10)'!$G:$G,C206,'[1]Consolidated Testing(7-10)'!$J:$J,1)</f>
        <v>0</v>
      </c>
      <c r="F206" s="11"/>
      <c r="G206" s="11"/>
      <c r="H206" s="11"/>
      <c r="I206" s="11"/>
    </row>
    <row r="207" spans="1:9" hidden="1" x14ac:dyDescent="0.3">
      <c r="A207" s="14" t="s">
        <v>100</v>
      </c>
      <c r="B207" s="9" t="s">
        <v>228</v>
      </c>
      <c r="C207" s="14" t="s">
        <v>314</v>
      </c>
      <c r="D207" s="10">
        <v>14</v>
      </c>
      <c r="E207" s="11">
        <f>COUNTIFS('[1]Consolidated Testing(7-10)'!$C:$C,B207,'[1]Consolidated Testing(7-10)'!$G:$G,C207,'[1]Consolidated Testing(7-10)'!$J:$J,1)</f>
        <v>0</v>
      </c>
      <c r="F207" s="11"/>
      <c r="G207" s="11"/>
      <c r="H207" s="11"/>
      <c r="I207" s="11"/>
    </row>
    <row r="208" spans="1:9" hidden="1" x14ac:dyDescent="0.3">
      <c r="A208" s="14" t="s">
        <v>100</v>
      </c>
      <c r="B208" s="9" t="s">
        <v>228</v>
      </c>
      <c r="C208" s="14" t="s">
        <v>315</v>
      </c>
      <c r="D208" s="10">
        <v>15</v>
      </c>
      <c r="E208" s="11">
        <f>COUNTIFS('[1]Consolidated Testing(7-10)'!$C:$C,B208,'[1]Consolidated Testing(7-10)'!$G:$G,C208,'[1]Consolidated Testing(7-10)'!$J:$J,1)</f>
        <v>0</v>
      </c>
      <c r="F208" s="11"/>
      <c r="G208" s="11"/>
      <c r="H208" s="11"/>
      <c r="I208" s="11"/>
    </row>
    <row r="209" spans="1:9" hidden="1" x14ac:dyDescent="0.3">
      <c r="A209" s="14" t="s">
        <v>100</v>
      </c>
      <c r="B209" s="9" t="s">
        <v>228</v>
      </c>
      <c r="C209" s="14" t="s">
        <v>316</v>
      </c>
      <c r="D209" s="10">
        <v>16</v>
      </c>
      <c r="E209" s="11">
        <f>COUNTIFS('[1]Consolidated Testing(7-10)'!$C:$C,B209,'[1]Consolidated Testing(7-10)'!$G:$G,C209,'[1]Consolidated Testing(7-10)'!$J:$J,1)</f>
        <v>0</v>
      </c>
      <c r="F209" s="11"/>
      <c r="G209" s="11"/>
      <c r="H209" s="11"/>
      <c r="I209" s="11"/>
    </row>
    <row r="210" spans="1:9" hidden="1" x14ac:dyDescent="0.3">
      <c r="A210" s="14" t="s">
        <v>162</v>
      </c>
      <c r="B210" s="8" t="s">
        <v>101</v>
      </c>
      <c r="C210" s="14" t="s">
        <v>317</v>
      </c>
      <c r="D210" s="10">
        <v>6</v>
      </c>
      <c r="E210" s="11">
        <f>COUNTIFS('[1]Consolidated Testing(7-10)'!$C:$C,B210,'[1]Consolidated Testing(7-10)'!$G:$G,C210,'[1]Consolidated Testing(7-10)'!$J:$J,1)</f>
        <v>2</v>
      </c>
      <c r="F210" s="11" t="e" cm="1" vm="81">
        <f t="array" aca="1" ref="F210" ca="1">[2]Macro_Commentary_Classification!$C$2:$C$46</f>
        <v>#VALUE!</v>
      </c>
      <c r="G210" s="11"/>
      <c r="H210" s="11"/>
      <c r="I210" s="11"/>
    </row>
    <row r="211" spans="1:9" hidden="1" x14ac:dyDescent="0.3">
      <c r="A211" s="14" t="s">
        <v>113</v>
      </c>
      <c r="B211" s="8" t="s">
        <v>228</v>
      </c>
      <c r="C211" s="14" t="s">
        <v>318</v>
      </c>
      <c r="D211" s="13">
        <v>5</v>
      </c>
      <c r="E211" s="11">
        <f>COUNTIFS('[1]Consolidated Testing(7-10)'!$C:$C,B211,'[1]Consolidated Testing(7-10)'!$G:$G,C211,'[1]Consolidated Testing(7-10)'!$J:$J,1)</f>
        <v>0</v>
      </c>
      <c r="F211" s="11"/>
      <c r="G211" s="11"/>
      <c r="H211" s="11"/>
      <c r="I211" s="11"/>
    </row>
    <row r="212" spans="1:9" hidden="1" x14ac:dyDescent="0.3">
      <c r="A212" s="14" t="s">
        <v>113</v>
      </c>
      <c r="B212" s="8" t="s">
        <v>228</v>
      </c>
      <c r="C212" s="14" t="s">
        <v>319</v>
      </c>
      <c r="D212" s="13">
        <v>5</v>
      </c>
      <c r="E212" s="11">
        <f>COUNTIFS('[1]Consolidated Testing(7-10)'!$C:$C,B212,'[1]Consolidated Testing(7-10)'!$G:$G,C212,'[1]Consolidated Testing(7-10)'!$J:$J,1)</f>
        <v>0</v>
      </c>
      <c r="F212" s="11"/>
      <c r="G212" s="11"/>
      <c r="H212" s="11"/>
      <c r="I212" s="11"/>
    </row>
    <row r="213" spans="1:9" hidden="1" x14ac:dyDescent="0.3">
      <c r="A213" s="14" t="s">
        <v>113</v>
      </c>
      <c r="B213" s="8" t="s">
        <v>228</v>
      </c>
      <c r="C213" s="14" t="s">
        <v>280</v>
      </c>
      <c r="D213" s="13">
        <v>6</v>
      </c>
      <c r="E213" s="11">
        <f>COUNTIFS('[1]Consolidated Testing(7-10)'!$C:$C,B213,'[1]Consolidated Testing(7-10)'!$G:$G,C213,'[1]Consolidated Testing(7-10)'!$J:$J,1)</f>
        <v>0</v>
      </c>
      <c r="F213" s="11"/>
      <c r="G213" s="11"/>
      <c r="H213" s="11"/>
      <c r="I213" s="11"/>
    </row>
    <row r="214" spans="1:9" hidden="1" x14ac:dyDescent="0.3">
      <c r="A214" s="14" t="s">
        <v>113</v>
      </c>
      <c r="B214" s="8" t="s">
        <v>228</v>
      </c>
      <c r="C214" s="14" t="s">
        <v>320</v>
      </c>
      <c r="D214" s="13">
        <v>6</v>
      </c>
      <c r="E214" s="11">
        <f>COUNTIFS('[1]Consolidated Testing(7-10)'!$C:$C,B214,'[1]Consolidated Testing(7-10)'!$G:$G,C214,'[1]Consolidated Testing(7-10)'!$J:$J,1)</f>
        <v>0</v>
      </c>
      <c r="F214" s="11"/>
      <c r="G214" s="11"/>
      <c r="H214" s="11"/>
      <c r="I214" s="11"/>
    </row>
    <row r="215" spans="1:9" hidden="1" x14ac:dyDescent="0.3">
      <c r="A215" s="14" t="s">
        <v>162</v>
      </c>
      <c r="B215" s="8" t="s">
        <v>101</v>
      </c>
      <c r="C215" s="14" t="s">
        <v>321</v>
      </c>
      <c r="D215" s="10">
        <v>4</v>
      </c>
      <c r="E215" s="11">
        <f>COUNTIFS('[1]Consolidated Testing(7-10)'!$C:$C,B215,'[1]Consolidated Testing(7-10)'!$G:$G,C215,'[1]Consolidated Testing(7-10)'!$J:$J,1)</f>
        <v>1</v>
      </c>
      <c r="F215" s="11" t="e" cm="1" vm="81">
        <f t="array" aca="1" ref="F215" ca="1">[2]Macro_Commentary_Classification!$C$2:$C$46</f>
        <v>#VALUE!</v>
      </c>
      <c r="G215" s="11"/>
      <c r="H215" s="11"/>
      <c r="I215" s="11"/>
    </row>
    <row r="216" spans="1:9" hidden="1" x14ac:dyDescent="0.3">
      <c r="A216" s="14" t="s">
        <v>162</v>
      </c>
      <c r="B216" s="8" t="s">
        <v>101</v>
      </c>
      <c r="C216" s="14" t="s">
        <v>322</v>
      </c>
      <c r="D216" s="10">
        <v>6</v>
      </c>
      <c r="E216" s="11">
        <f>COUNTIFS('[1]Consolidated Testing(7-10)'!$C:$C,B216,'[1]Consolidated Testing(7-10)'!$G:$G,C216,'[1]Consolidated Testing(7-10)'!$J:$J,1)</f>
        <v>1</v>
      </c>
      <c r="F216" s="11" t="e" cm="1" vm="81">
        <f t="array" aca="1" ref="F216" ca="1">[2]Macro_Commentary_Classification!$C$2:$C$46</f>
        <v>#VALUE!</v>
      </c>
      <c r="G216" s="11"/>
      <c r="H216" s="11"/>
      <c r="I216" s="11"/>
    </row>
    <row r="217" spans="1:9" hidden="1" x14ac:dyDescent="0.3">
      <c r="A217" s="14" t="s">
        <v>113</v>
      </c>
      <c r="B217" s="8" t="s">
        <v>228</v>
      </c>
      <c r="C217" s="14" t="s">
        <v>323</v>
      </c>
      <c r="D217" s="13">
        <v>8</v>
      </c>
      <c r="E217" s="11">
        <f>COUNTIFS('[1]Consolidated Testing(7-10)'!$C:$C,B217,'[1]Consolidated Testing(7-10)'!$G:$G,C217,'[1]Consolidated Testing(7-10)'!$J:$J,1)</f>
        <v>0</v>
      </c>
      <c r="F217" s="11"/>
      <c r="G217" s="11"/>
      <c r="H217" s="11"/>
      <c r="I217" s="11"/>
    </row>
    <row r="218" spans="1:9" hidden="1" x14ac:dyDescent="0.3">
      <c r="A218" s="14" t="s">
        <v>113</v>
      </c>
      <c r="B218" s="8" t="s">
        <v>228</v>
      </c>
      <c r="C218" s="14" t="s">
        <v>324</v>
      </c>
      <c r="D218" s="13">
        <v>19</v>
      </c>
      <c r="E218" s="11">
        <f>COUNTIFS('[1]Consolidated Testing(7-10)'!$C:$C,B218,'[1]Consolidated Testing(7-10)'!$G:$G,C218,'[1]Consolidated Testing(7-10)'!$J:$J,1)</f>
        <v>0</v>
      </c>
      <c r="F218" s="11"/>
      <c r="G218" s="11"/>
      <c r="H218" s="11"/>
      <c r="I218" s="11"/>
    </row>
    <row r="219" spans="1:9" hidden="1" x14ac:dyDescent="0.3">
      <c r="A219" s="14" t="s">
        <v>162</v>
      </c>
      <c r="B219" s="8" t="s">
        <v>111</v>
      </c>
      <c r="C219" s="14" t="s">
        <v>325</v>
      </c>
      <c r="D219" s="10">
        <v>5</v>
      </c>
      <c r="E219" s="11">
        <f>COUNTIFS('[1]Consolidated Testing(7-10)'!$C:$C,B219,'[1]Consolidated Testing(7-10)'!$G:$G,C219,'[1]Consolidated Testing(7-10)'!$J:$J,1)</f>
        <v>1</v>
      </c>
      <c r="F219" s="11" t="e" cm="1" vm="81">
        <f t="array" aca="1" ref="F219" ca="1">[2]Macro_Commentary_Classification!$C$2:$C$46</f>
        <v>#VALUE!</v>
      </c>
      <c r="G219" s="11"/>
      <c r="H219" s="11"/>
      <c r="I219" s="11"/>
    </row>
    <row r="220" spans="1:9" hidden="1" x14ac:dyDescent="0.3">
      <c r="A220" s="14" t="s">
        <v>162</v>
      </c>
      <c r="B220" s="8" t="s">
        <v>111</v>
      </c>
      <c r="C220" s="14" t="s">
        <v>326</v>
      </c>
      <c r="D220" s="10">
        <v>13</v>
      </c>
      <c r="E220" s="11">
        <f>COUNTIFS('[1]Consolidated Testing(7-10)'!$C:$C,B220,'[1]Consolidated Testing(7-10)'!$G:$G,C220,'[1]Consolidated Testing(7-10)'!$J:$J,1)</f>
        <v>1</v>
      </c>
      <c r="F220" s="11" t="e" cm="1" vm="81">
        <f t="array" aca="1" ref="F220" ca="1">[2]Macro_Commentary_Classification!$C$2:$C$46</f>
        <v>#VALUE!</v>
      </c>
      <c r="G220" s="11"/>
      <c r="H220" s="11"/>
      <c r="I220" s="11"/>
    </row>
    <row r="221" spans="1:9" hidden="1" x14ac:dyDescent="0.3">
      <c r="A221" s="14" t="s">
        <v>162</v>
      </c>
      <c r="B221" s="9" t="s">
        <v>111</v>
      </c>
      <c r="C221" s="14" t="s">
        <v>327</v>
      </c>
      <c r="D221" s="10">
        <v>13</v>
      </c>
      <c r="E221" s="11">
        <f>COUNTIFS('[1]Consolidated Testing(7-10)'!$C:$C,B221,'[1]Consolidated Testing(7-10)'!$G:$G,C221,'[1]Consolidated Testing(7-10)'!$J:$J,1)</f>
        <v>1</v>
      </c>
      <c r="F221" s="11" t="e" cm="1" vm="81">
        <f t="array" aca="1" ref="F221" ca="1">[2]Macro_Commentary_Classification!$C$2:$C$46</f>
        <v>#VALUE!</v>
      </c>
      <c r="G221" s="11"/>
      <c r="H221" s="11"/>
      <c r="I221" s="11"/>
    </row>
    <row r="222" spans="1:9" hidden="1" x14ac:dyDescent="0.3">
      <c r="A222" s="14" t="s">
        <v>113</v>
      </c>
      <c r="B222" s="8" t="s">
        <v>228</v>
      </c>
      <c r="C222" s="14" t="s">
        <v>328</v>
      </c>
      <c r="D222" s="13">
        <v>22</v>
      </c>
      <c r="E222" s="11">
        <f>COUNTIFS('[1]Consolidated Testing(7-10)'!$C:$C,B222,'[1]Consolidated Testing(7-10)'!$G:$G,C222,'[1]Consolidated Testing(7-10)'!$J:$J,1)</f>
        <v>0</v>
      </c>
      <c r="F222" s="11"/>
      <c r="G222" s="11"/>
      <c r="H222" s="11"/>
      <c r="I222" s="11"/>
    </row>
    <row r="223" spans="1:9" hidden="1" x14ac:dyDescent="0.3">
      <c r="A223" s="14" t="s">
        <v>121</v>
      </c>
      <c r="B223" s="9" t="s">
        <v>228</v>
      </c>
      <c r="C223" s="14" t="s">
        <v>329</v>
      </c>
      <c r="D223" s="10">
        <v>5</v>
      </c>
      <c r="E223" s="11">
        <f>COUNTIFS('[1]Consolidated Testing(7-10)'!$C:$C,B223,'[1]Consolidated Testing(7-10)'!$G:$G,C223,'[1]Consolidated Testing(7-10)'!$J:$J,1)</f>
        <v>1</v>
      </c>
      <c r="F223" s="11" t="e" cm="1" vm="81">
        <f t="array" aca="1" ref="F223" ca="1">[2]Macro_Commentary_Classification!$C$2:$C$46</f>
        <v>#VALUE!</v>
      </c>
      <c r="G223" s="11"/>
      <c r="H223" s="11"/>
      <c r="I223" s="11"/>
    </row>
    <row r="224" spans="1:9" hidden="1" x14ac:dyDescent="0.3">
      <c r="A224" s="14" t="s">
        <v>121</v>
      </c>
      <c r="B224" s="9" t="s">
        <v>228</v>
      </c>
      <c r="C224" s="14" t="s">
        <v>330</v>
      </c>
      <c r="D224" s="10">
        <v>5</v>
      </c>
      <c r="E224" s="11">
        <f>COUNTIFS('[1]Consolidated Testing(7-10)'!$C:$C,B224,'[1]Consolidated Testing(7-10)'!$G:$G,C224,'[1]Consolidated Testing(7-10)'!$J:$J,1)</f>
        <v>1</v>
      </c>
      <c r="F224" s="11" t="e" cm="1" vm="81">
        <f t="array" aca="1" ref="F224" ca="1">[2]Macro_Commentary_Classification!$C$2:$C$46</f>
        <v>#VALUE!</v>
      </c>
      <c r="G224" s="11"/>
      <c r="H224" s="11"/>
      <c r="I224" s="11"/>
    </row>
    <row r="225" spans="1:9" hidden="1" x14ac:dyDescent="0.3">
      <c r="A225" s="14" t="s">
        <v>113</v>
      </c>
      <c r="B225" s="8" t="s">
        <v>228</v>
      </c>
      <c r="C225" s="14" t="s">
        <v>331</v>
      </c>
      <c r="D225" s="13">
        <v>15</v>
      </c>
      <c r="E225" s="11">
        <f>COUNTIFS('[1]Consolidated Testing(7-10)'!$C:$C,B225,'[1]Consolidated Testing(7-10)'!$G:$G,C225,'[1]Consolidated Testing(7-10)'!$J:$J,1)</f>
        <v>0</v>
      </c>
      <c r="F225" s="11"/>
      <c r="G225" s="11"/>
      <c r="H225" s="11"/>
      <c r="I225" s="11"/>
    </row>
    <row r="226" spans="1:9" hidden="1" x14ac:dyDescent="0.3">
      <c r="A226" s="14" t="s">
        <v>121</v>
      </c>
      <c r="B226" s="9" t="s">
        <v>228</v>
      </c>
      <c r="C226" s="14" t="s">
        <v>332</v>
      </c>
      <c r="D226" s="10">
        <v>7</v>
      </c>
      <c r="E226" s="11">
        <f>COUNTIFS('[1]Consolidated Testing(7-10)'!$C:$C,B226,'[1]Consolidated Testing(7-10)'!$G:$G,C226,'[1]Consolidated Testing(7-10)'!$J:$J,1)</f>
        <v>1</v>
      </c>
      <c r="F226" s="11" t="e" cm="1" vm="81">
        <f t="array" aca="1" ref="F226" ca="1">[2]Macro_Commentary_Classification!$C$2:$C$46</f>
        <v>#VALUE!</v>
      </c>
      <c r="G226" s="11"/>
      <c r="H226" s="11"/>
      <c r="I226" s="11"/>
    </row>
    <row r="227" spans="1:9" hidden="1" x14ac:dyDescent="0.3">
      <c r="A227" s="14" t="s">
        <v>113</v>
      </c>
      <c r="B227" s="8" t="s">
        <v>228</v>
      </c>
      <c r="C227" s="14" t="s">
        <v>333</v>
      </c>
      <c r="D227" s="13">
        <v>22</v>
      </c>
      <c r="E227" s="11">
        <f>COUNTIFS('[1]Consolidated Testing(7-10)'!$C:$C,B227,'[1]Consolidated Testing(7-10)'!$G:$G,C227,'[1]Consolidated Testing(7-10)'!$J:$J,1)</f>
        <v>0</v>
      </c>
      <c r="F227" s="11"/>
      <c r="G227" s="11"/>
      <c r="H227" s="11"/>
      <c r="I227" s="11"/>
    </row>
    <row r="228" spans="1:9" hidden="1" x14ac:dyDescent="0.3">
      <c r="A228" s="14" t="s">
        <v>113</v>
      </c>
      <c r="B228" s="8" t="s">
        <v>228</v>
      </c>
      <c r="C228" s="14" t="s">
        <v>334</v>
      </c>
      <c r="D228" s="13">
        <v>18</v>
      </c>
      <c r="E228" s="11">
        <f>COUNTIFS('[1]Consolidated Testing(7-10)'!$C:$C,B228,'[1]Consolidated Testing(7-10)'!$G:$G,C228,'[1]Consolidated Testing(7-10)'!$J:$J,1)</f>
        <v>0</v>
      </c>
      <c r="F228" s="11"/>
      <c r="G228" s="11"/>
      <c r="H228" s="11"/>
      <c r="I228" s="11"/>
    </row>
    <row r="229" spans="1:9" hidden="1" x14ac:dyDescent="0.3">
      <c r="A229" s="14" t="s">
        <v>121</v>
      </c>
      <c r="B229" s="9" t="s">
        <v>228</v>
      </c>
      <c r="C229" s="14" t="s">
        <v>335</v>
      </c>
      <c r="D229" s="10">
        <v>8</v>
      </c>
      <c r="E229" s="11">
        <f>COUNTIFS('[1]Consolidated Testing(7-10)'!$C:$C,B229,'[1]Consolidated Testing(7-10)'!$G:$G,C229,'[1]Consolidated Testing(7-10)'!$J:$J,1)</f>
        <v>1</v>
      </c>
      <c r="F229" s="11" t="e" cm="1" vm="81">
        <f t="array" aca="1" ref="F229" ca="1">[2]Macro_Commentary_Classification!$C$2:$C$46</f>
        <v>#VALUE!</v>
      </c>
      <c r="G229" s="11"/>
      <c r="H229" s="11"/>
      <c r="I229" s="11"/>
    </row>
    <row r="230" spans="1:9" hidden="1" x14ac:dyDescent="0.3">
      <c r="A230" s="14" t="s">
        <v>121</v>
      </c>
      <c r="B230" s="9" t="s">
        <v>228</v>
      </c>
      <c r="C230" s="14" t="s">
        <v>336</v>
      </c>
      <c r="D230" s="10">
        <v>5</v>
      </c>
      <c r="E230" s="11">
        <f>COUNTIFS('[1]Consolidated Testing(7-10)'!$C:$C,B230,'[1]Consolidated Testing(7-10)'!$G:$G,C230,'[1]Consolidated Testing(7-10)'!$J:$J,1)</f>
        <v>0</v>
      </c>
      <c r="F230" s="11"/>
      <c r="G230" s="11"/>
      <c r="H230" s="11"/>
      <c r="I230" s="11"/>
    </row>
    <row r="231" spans="1:9" hidden="1" x14ac:dyDescent="0.3">
      <c r="A231" s="14" t="s">
        <v>121</v>
      </c>
      <c r="B231" s="9" t="s">
        <v>228</v>
      </c>
      <c r="C231" s="14" t="s">
        <v>337</v>
      </c>
      <c r="D231" s="10">
        <v>8</v>
      </c>
      <c r="E231" s="11">
        <f>COUNTIFS('[1]Consolidated Testing(7-10)'!$C:$C,B231,'[1]Consolidated Testing(7-10)'!$G:$G,C231,'[1]Consolidated Testing(7-10)'!$J:$J,1)</f>
        <v>1</v>
      </c>
      <c r="F231" s="11" t="e" cm="1" vm="81">
        <f t="array" aca="1" ref="F231" ca="1">[2]Macro_Commentary_Classification!$C$2:$C$46</f>
        <v>#VALUE!</v>
      </c>
      <c r="G231" s="11"/>
      <c r="H231" s="11"/>
      <c r="I231" s="11"/>
    </row>
    <row r="232" spans="1:9" hidden="1" x14ac:dyDescent="0.3">
      <c r="A232" s="14" t="s">
        <v>121</v>
      </c>
      <c r="B232" s="9" t="s">
        <v>228</v>
      </c>
      <c r="C232" s="14" t="s">
        <v>338</v>
      </c>
      <c r="D232" s="10">
        <v>6</v>
      </c>
      <c r="E232" s="11">
        <f>COUNTIFS('[1]Consolidated Testing(7-10)'!$C:$C,B232,'[1]Consolidated Testing(7-10)'!$G:$G,C232,'[1]Consolidated Testing(7-10)'!$J:$J,1)</f>
        <v>0</v>
      </c>
      <c r="F232" s="11"/>
      <c r="G232" s="11"/>
      <c r="H232" s="11"/>
      <c r="I232" s="11"/>
    </row>
    <row r="233" spans="1:9" hidden="1" x14ac:dyDescent="0.3">
      <c r="A233" s="14" t="s">
        <v>121</v>
      </c>
      <c r="B233" s="9" t="s">
        <v>228</v>
      </c>
      <c r="C233" s="14" t="s">
        <v>339</v>
      </c>
      <c r="D233" s="10">
        <v>7</v>
      </c>
      <c r="E233" s="11">
        <f>COUNTIFS('[1]Consolidated Testing(7-10)'!$C:$C,B233,'[1]Consolidated Testing(7-10)'!$G:$G,C233,'[1]Consolidated Testing(7-10)'!$J:$J,1)</f>
        <v>0</v>
      </c>
      <c r="F233" s="11"/>
      <c r="G233" s="11"/>
      <c r="H233" s="11"/>
      <c r="I233" s="11"/>
    </row>
    <row r="234" spans="1:9" hidden="1" x14ac:dyDescent="0.3">
      <c r="A234" s="14" t="s">
        <v>121</v>
      </c>
      <c r="B234" s="9" t="s">
        <v>228</v>
      </c>
      <c r="C234" s="14" t="s">
        <v>340</v>
      </c>
      <c r="D234" s="10">
        <v>8</v>
      </c>
      <c r="E234" s="11">
        <f>COUNTIFS('[1]Consolidated Testing(7-10)'!$C:$C,B234,'[1]Consolidated Testing(7-10)'!$G:$G,C234,'[1]Consolidated Testing(7-10)'!$J:$J,1)</f>
        <v>0</v>
      </c>
      <c r="F234" s="11"/>
      <c r="G234" s="11"/>
      <c r="H234" s="11"/>
      <c r="I234" s="11"/>
    </row>
    <row r="235" spans="1:9" hidden="1" x14ac:dyDescent="0.3">
      <c r="A235" s="14" t="s">
        <v>121</v>
      </c>
      <c r="B235" s="9" t="s">
        <v>228</v>
      </c>
      <c r="C235" s="14" t="s">
        <v>341</v>
      </c>
      <c r="D235" s="10">
        <v>8</v>
      </c>
      <c r="E235" s="11">
        <f>COUNTIFS('[1]Consolidated Testing(7-10)'!$C:$C,B235,'[1]Consolidated Testing(7-10)'!$G:$G,C235,'[1]Consolidated Testing(7-10)'!$J:$J,1)</f>
        <v>0</v>
      </c>
      <c r="F235" s="11"/>
      <c r="G235" s="11"/>
      <c r="H235" s="11"/>
      <c r="I235" s="11"/>
    </row>
    <row r="236" spans="1:9" hidden="1" x14ac:dyDescent="0.3">
      <c r="A236" s="14" t="s">
        <v>121</v>
      </c>
      <c r="B236" s="9" t="s">
        <v>228</v>
      </c>
      <c r="C236" s="14" t="s">
        <v>342</v>
      </c>
      <c r="D236" s="10">
        <v>9</v>
      </c>
      <c r="E236" s="11">
        <f>COUNTIFS('[1]Consolidated Testing(7-10)'!$C:$C,B236,'[1]Consolidated Testing(7-10)'!$G:$G,C236,'[1]Consolidated Testing(7-10)'!$J:$J,1)</f>
        <v>0</v>
      </c>
      <c r="F236" s="11"/>
      <c r="G236" s="11"/>
      <c r="H236" s="11"/>
      <c r="I236" s="11"/>
    </row>
    <row r="237" spans="1:9" hidden="1" x14ac:dyDescent="0.3">
      <c r="A237" s="14" t="s">
        <v>121</v>
      </c>
      <c r="B237" s="9" t="s">
        <v>228</v>
      </c>
      <c r="C237" s="14" t="s">
        <v>343</v>
      </c>
      <c r="D237" s="10">
        <v>10</v>
      </c>
      <c r="E237" s="11">
        <f>COUNTIFS('[1]Consolidated Testing(7-10)'!$C:$C,B237,'[1]Consolidated Testing(7-10)'!$G:$G,C237,'[1]Consolidated Testing(7-10)'!$J:$J,1)</f>
        <v>0</v>
      </c>
      <c r="F237" s="11"/>
      <c r="G237" s="11"/>
      <c r="H237" s="11"/>
      <c r="I237" s="11"/>
    </row>
    <row r="238" spans="1:9" hidden="1" x14ac:dyDescent="0.3">
      <c r="A238" s="14" t="s">
        <v>121</v>
      </c>
      <c r="B238" s="9" t="s">
        <v>228</v>
      </c>
      <c r="C238" s="14" t="s">
        <v>344</v>
      </c>
      <c r="D238" s="10">
        <v>10</v>
      </c>
      <c r="E238" s="11">
        <f>COUNTIFS('[1]Consolidated Testing(7-10)'!$C:$C,B238,'[1]Consolidated Testing(7-10)'!$G:$G,C238,'[1]Consolidated Testing(7-10)'!$J:$J,1)</f>
        <v>0</v>
      </c>
      <c r="F238" s="11"/>
      <c r="G238" s="11"/>
      <c r="H238" s="11"/>
      <c r="I238" s="11"/>
    </row>
    <row r="239" spans="1:9" hidden="1" x14ac:dyDescent="0.3">
      <c r="A239" s="14" t="s">
        <v>162</v>
      </c>
      <c r="B239" s="9" t="s">
        <v>228</v>
      </c>
      <c r="C239" s="14" t="s">
        <v>345</v>
      </c>
      <c r="D239" s="10">
        <v>4</v>
      </c>
      <c r="E239" s="11">
        <f>COUNTIFS('[1]Consolidated Testing(7-10)'!$C:$C,B239,'[1]Consolidated Testing(7-10)'!$G:$G,C239,'[1]Consolidated Testing(7-10)'!$J:$J,1)</f>
        <v>1</v>
      </c>
      <c r="F239" s="11" t="e" cm="1" vm="81">
        <f t="array" aca="1" ref="F239" ca="1">[2]Macro_Commentary_Classification!$C$2:$C$46</f>
        <v>#VALUE!</v>
      </c>
      <c r="G239" s="11"/>
      <c r="H239" s="11"/>
      <c r="I239" s="11"/>
    </row>
    <row r="240" spans="1:9" hidden="1" x14ac:dyDescent="0.3">
      <c r="A240" s="14" t="s">
        <v>162</v>
      </c>
      <c r="B240" s="9" t="s">
        <v>228</v>
      </c>
      <c r="C240" s="14" t="s">
        <v>346</v>
      </c>
      <c r="D240" s="10">
        <v>4</v>
      </c>
      <c r="E240" s="11">
        <f>COUNTIFS('[1]Consolidated Testing(7-10)'!$C:$C,B240,'[1]Consolidated Testing(7-10)'!$G:$G,C240,'[1]Consolidated Testing(7-10)'!$J:$J,1)</f>
        <v>1</v>
      </c>
      <c r="F240" s="11" t="e" cm="1" vm="81">
        <f t="array" aca="1" ref="F240" ca="1">[2]Macro_Commentary_Classification!$C$2:$C$46</f>
        <v>#VALUE!</v>
      </c>
      <c r="G240" s="11"/>
      <c r="H240" s="11"/>
      <c r="I240" s="11"/>
    </row>
    <row r="241" spans="1:9" hidden="1" x14ac:dyDescent="0.3">
      <c r="A241" s="14" t="s">
        <v>162</v>
      </c>
      <c r="B241" s="8" t="s">
        <v>128</v>
      </c>
      <c r="C241" s="14" t="s">
        <v>347</v>
      </c>
      <c r="D241" s="10">
        <v>4</v>
      </c>
      <c r="E241" s="11">
        <f>COUNTIFS('[1]Consolidated Testing(7-10)'!$C:$C,B241,'[1]Consolidated Testing(7-10)'!$G:$G,C241,'[1]Consolidated Testing(7-10)'!$J:$J,1)</f>
        <v>1</v>
      </c>
      <c r="F241" s="11" t="e" cm="1" vm="81">
        <f t="array" aca="1" ref="F241" ca="1">[2]Macro_Commentary_Classification!$C$2:$C$46</f>
        <v>#VALUE!</v>
      </c>
      <c r="G241" s="11"/>
      <c r="H241" s="11"/>
      <c r="I241" s="11"/>
    </row>
    <row r="242" spans="1:9" hidden="1" x14ac:dyDescent="0.3">
      <c r="A242" s="14" t="s">
        <v>162</v>
      </c>
      <c r="B242" s="8" t="s">
        <v>128</v>
      </c>
      <c r="C242" s="14" t="s">
        <v>348</v>
      </c>
      <c r="D242" s="10">
        <v>8</v>
      </c>
      <c r="E242" s="11">
        <f>COUNTIFS('[1]Consolidated Testing(7-10)'!$C:$C,B242,'[1]Consolidated Testing(7-10)'!$G:$G,C242,'[1]Consolidated Testing(7-10)'!$J:$J,1)</f>
        <v>1</v>
      </c>
      <c r="F242" s="11" t="e" cm="1" vm="81">
        <f t="array" aca="1" ref="F242" ca="1">[2]Macro_Commentary_Classification!$C$2:$C$46</f>
        <v>#VALUE!</v>
      </c>
      <c r="G242" s="11"/>
      <c r="H242" s="11"/>
      <c r="I242" s="11"/>
    </row>
    <row r="243" spans="1:9" hidden="1" x14ac:dyDescent="0.3">
      <c r="A243" s="14" t="s">
        <v>162</v>
      </c>
      <c r="B243" s="8" t="s">
        <v>128</v>
      </c>
      <c r="C243" s="14" t="s">
        <v>349</v>
      </c>
      <c r="D243" s="10">
        <v>8</v>
      </c>
      <c r="E243" s="11">
        <f>COUNTIFS('[1]Consolidated Testing(7-10)'!$C:$C,B243,'[1]Consolidated Testing(7-10)'!$G:$G,C243,'[1]Consolidated Testing(7-10)'!$J:$J,1)</f>
        <v>1</v>
      </c>
      <c r="F243" s="11" t="e" cm="1" vm="81">
        <f t="array" aca="1" ref="F243" ca="1">[2]Macro_Commentary_Classification!$C$2:$C$46</f>
        <v>#VALUE!</v>
      </c>
      <c r="G243" s="11"/>
      <c r="H243" s="11"/>
      <c r="I243" s="11"/>
    </row>
    <row r="244" spans="1:9" hidden="1" x14ac:dyDescent="0.3">
      <c r="A244" s="14" t="s">
        <v>121</v>
      </c>
      <c r="B244" s="9" t="s">
        <v>228</v>
      </c>
      <c r="C244" s="14" t="s">
        <v>350</v>
      </c>
      <c r="D244" s="10">
        <v>11</v>
      </c>
      <c r="E244" s="11">
        <f>COUNTIFS('[1]Consolidated Testing(7-10)'!$C:$C,B244,'[1]Consolidated Testing(7-10)'!$G:$G,C244,'[1]Consolidated Testing(7-10)'!$J:$J,1)</f>
        <v>0</v>
      </c>
      <c r="F244" s="11"/>
      <c r="G244" s="11"/>
      <c r="H244" s="11"/>
      <c r="I244" s="11"/>
    </row>
    <row r="245" spans="1:9" hidden="1" x14ac:dyDescent="0.3">
      <c r="A245" s="14" t="s">
        <v>162</v>
      </c>
      <c r="B245" s="9" t="s">
        <v>130</v>
      </c>
      <c r="C245" s="14" t="s">
        <v>351</v>
      </c>
      <c r="D245" s="10">
        <v>5</v>
      </c>
      <c r="E245" s="11">
        <f>COUNTIFS('[1]Consolidated Testing(7-10)'!$C:$C,B245,'[1]Consolidated Testing(7-10)'!$G:$G,C245,'[1]Consolidated Testing(7-10)'!$J:$J,1)</f>
        <v>1</v>
      </c>
      <c r="F245" s="11" t="e" cm="1" vm="81">
        <f t="array" aca="1" ref="F245" ca="1">[2]Macro_Commentary_Classification!$C$2:$C$46</f>
        <v>#VALUE!</v>
      </c>
      <c r="G245" s="11"/>
      <c r="H245" s="11"/>
      <c r="I245" s="11"/>
    </row>
    <row r="246" spans="1:9" hidden="1" x14ac:dyDescent="0.3">
      <c r="A246" s="14" t="s">
        <v>121</v>
      </c>
      <c r="B246" s="9" t="s">
        <v>228</v>
      </c>
      <c r="C246" s="14" t="s">
        <v>352</v>
      </c>
      <c r="D246" s="10">
        <v>12</v>
      </c>
      <c r="E246" s="11">
        <f>COUNTIFS('[1]Consolidated Testing(7-10)'!$C:$C,B246,'[1]Consolidated Testing(7-10)'!$G:$G,C246,'[1]Consolidated Testing(7-10)'!$J:$J,1)</f>
        <v>0</v>
      </c>
      <c r="F246" s="11"/>
      <c r="G246" s="11"/>
      <c r="H246" s="11"/>
      <c r="I246" s="11"/>
    </row>
    <row r="247" spans="1:9" hidden="1" x14ac:dyDescent="0.3">
      <c r="A247" s="14" t="s">
        <v>121</v>
      </c>
      <c r="B247" s="9" t="s">
        <v>228</v>
      </c>
      <c r="C247" s="14" t="s">
        <v>353</v>
      </c>
      <c r="D247" s="10">
        <v>12</v>
      </c>
      <c r="E247" s="11">
        <f>COUNTIFS('[1]Consolidated Testing(7-10)'!$C:$C,B247,'[1]Consolidated Testing(7-10)'!$G:$G,C247,'[1]Consolidated Testing(7-10)'!$J:$J,1)</f>
        <v>0</v>
      </c>
      <c r="F247" s="11"/>
      <c r="G247" s="11"/>
      <c r="H247" s="11"/>
      <c r="I247" s="11"/>
    </row>
    <row r="248" spans="1:9" hidden="1" x14ac:dyDescent="0.3">
      <c r="A248" s="14" t="s">
        <v>162</v>
      </c>
      <c r="B248" s="8" t="s">
        <v>136</v>
      </c>
      <c r="C248" s="14" t="s">
        <v>354</v>
      </c>
      <c r="D248" s="10">
        <v>4</v>
      </c>
      <c r="E248" s="11">
        <f>COUNTIFS('[1]Consolidated Testing(7-10)'!$C:$C,B248,'[1]Consolidated Testing(7-10)'!$G:$G,C248,'[1]Consolidated Testing(7-10)'!$J:$J,1)</f>
        <v>1</v>
      </c>
      <c r="F248" s="11" t="e" cm="1" vm="81">
        <f t="array" aca="1" ref="F248" ca="1">[2]Macro_Commentary_Classification!$C$2:$C$46</f>
        <v>#VALUE!</v>
      </c>
      <c r="G248" s="11"/>
      <c r="H248" s="11"/>
      <c r="I248" s="11"/>
    </row>
    <row r="249" spans="1:9" hidden="1" x14ac:dyDescent="0.3">
      <c r="A249" s="14" t="s">
        <v>162</v>
      </c>
      <c r="B249" s="8" t="s">
        <v>136</v>
      </c>
      <c r="C249" s="14" t="s">
        <v>355</v>
      </c>
      <c r="D249" s="10">
        <v>5</v>
      </c>
      <c r="E249" s="11">
        <f>COUNTIFS('[1]Consolidated Testing(7-10)'!$C:$C,B249,'[1]Consolidated Testing(7-10)'!$G:$G,C249,'[1]Consolidated Testing(7-10)'!$J:$J,1)</f>
        <v>1</v>
      </c>
      <c r="F249" s="11" t="e" cm="1" vm="81">
        <f t="array" aca="1" ref="F249" ca="1">[2]Macro_Commentary_Classification!$C$2:$C$46</f>
        <v>#VALUE!</v>
      </c>
      <c r="G249" s="11"/>
      <c r="H249" s="11"/>
      <c r="I249" s="11"/>
    </row>
    <row r="250" spans="1:9" hidden="1" x14ac:dyDescent="0.3">
      <c r="A250" s="14" t="s">
        <v>162</v>
      </c>
      <c r="B250" s="8" t="s">
        <v>136</v>
      </c>
      <c r="C250" s="14" t="s">
        <v>356</v>
      </c>
      <c r="D250" s="10">
        <v>6</v>
      </c>
      <c r="E250" s="11">
        <f>COUNTIFS('[1]Consolidated Testing(7-10)'!$C:$C,B250,'[1]Consolidated Testing(7-10)'!$G:$G,C250,'[1]Consolidated Testing(7-10)'!$J:$J,1)</f>
        <v>1</v>
      </c>
      <c r="F250" s="11" t="e" cm="1" vm="81">
        <f t="array" aca="1" ref="F250" ca="1">[2]Macro_Commentary_Classification!$C$2:$C$46</f>
        <v>#VALUE!</v>
      </c>
      <c r="G250" s="11"/>
      <c r="H250" s="11"/>
      <c r="I250" s="11"/>
    </row>
    <row r="251" spans="1:9" hidden="1" x14ac:dyDescent="0.3">
      <c r="A251" s="14" t="s">
        <v>121</v>
      </c>
      <c r="B251" s="9" t="s">
        <v>228</v>
      </c>
      <c r="C251" s="14" t="s">
        <v>357</v>
      </c>
      <c r="D251" s="10">
        <v>12</v>
      </c>
      <c r="E251" s="11">
        <f>COUNTIFS('[1]Consolidated Testing(7-10)'!$C:$C,B251,'[1]Consolidated Testing(7-10)'!$G:$G,C251,'[1]Consolidated Testing(7-10)'!$J:$J,1)</f>
        <v>0</v>
      </c>
      <c r="F251" s="11"/>
      <c r="G251" s="11"/>
      <c r="H251" s="11"/>
      <c r="I251" s="11"/>
    </row>
    <row r="252" spans="1:9" hidden="1" x14ac:dyDescent="0.3">
      <c r="A252" s="14" t="s">
        <v>162</v>
      </c>
      <c r="B252" s="9" t="s">
        <v>228</v>
      </c>
      <c r="C252" s="14" t="s">
        <v>358</v>
      </c>
      <c r="D252" s="10">
        <v>4</v>
      </c>
      <c r="E252" s="11">
        <f>COUNTIFS('[1]Consolidated Testing(7-10)'!$C:$C,B252,'[1]Consolidated Testing(7-10)'!$G:$G,C252,'[1]Consolidated Testing(7-10)'!$J:$J,1)</f>
        <v>0</v>
      </c>
      <c r="F252" s="11"/>
      <c r="G252" s="11"/>
      <c r="H252" s="11"/>
      <c r="I252" s="11"/>
    </row>
    <row r="253" spans="1:9" hidden="1" x14ac:dyDescent="0.3">
      <c r="A253" s="14" t="s">
        <v>162</v>
      </c>
      <c r="B253" s="8" t="s">
        <v>101</v>
      </c>
      <c r="C253" s="14" t="s">
        <v>359</v>
      </c>
      <c r="D253" s="10">
        <v>4</v>
      </c>
      <c r="E253" s="11">
        <f>COUNTIFS('[1]Consolidated Testing(7-10)'!$C:$C,B253,'[1]Consolidated Testing(7-10)'!$G:$G,C253,'[1]Consolidated Testing(7-10)'!$J:$J,1)</f>
        <v>1</v>
      </c>
      <c r="F253" s="11" t="e" cm="1" vm="81">
        <f t="array" aca="1" ref="F253" ca="1">[2]Macro_Commentary_Classification!$C$2:$C$46</f>
        <v>#VALUE!</v>
      </c>
      <c r="G253" s="11"/>
      <c r="H253" s="11"/>
      <c r="I253" s="11"/>
    </row>
    <row r="254" spans="1:9" hidden="1" x14ac:dyDescent="0.3">
      <c r="A254" s="14" t="s">
        <v>162</v>
      </c>
      <c r="B254" s="9" t="s">
        <v>228</v>
      </c>
      <c r="C254" s="14" t="s">
        <v>360</v>
      </c>
      <c r="D254" s="10">
        <v>4</v>
      </c>
      <c r="E254" s="11">
        <f>COUNTIFS('[1]Consolidated Testing(7-10)'!$C:$C,B254,'[1]Consolidated Testing(7-10)'!$G:$G,C254,'[1]Consolidated Testing(7-10)'!$J:$J,1)</f>
        <v>0</v>
      </c>
      <c r="F254" s="11"/>
      <c r="G254" s="11"/>
      <c r="H254" s="11"/>
      <c r="I254" s="11"/>
    </row>
    <row r="255" spans="1:9" hidden="1" x14ac:dyDescent="0.3">
      <c r="A255" s="14" t="s">
        <v>162</v>
      </c>
      <c r="B255" s="9" t="s">
        <v>228</v>
      </c>
      <c r="C255" s="14" t="s">
        <v>361</v>
      </c>
      <c r="D255" s="10">
        <v>4</v>
      </c>
      <c r="E255" s="11">
        <f>COUNTIFS('[1]Consolidated Testing(7-10)'!$C:$C,B255,'[1]Consolidated Testing(7-10)'!$G:$G,C255,'[1]Consolidated Testing(7-10)'!$J:$J,1)</f>
        <v>0</v>
      </c>
      <c r="F255" s="11"/>
      <c r="G255" s="11"/>
      <c r="H255" s="11"/>
      <c r="I255" s="11"/>
    </row>
    <row r="256" spans="1:9" hidden="1" x14ac:dyDescent="0.3">
      <c r="A256" s="14" t="s">
        <v>162</v>
      </c>
      <c r="B256" s="9" t="s">
        <v>228</v>
      </c>
      <c r="C256" s="14" t="s">
        <v>362</v>
      </c>
      <c r="D256" s="10">
        <v>5</v>
      </c>
      <c r="E256" s="11">
        <f>COUNTIFS('[1]Consolidated Testing(7-10)'!$C:$C,B256,'[1]Consolidated Testing(7-10)'!$G:$G,C256,'[1]Consolidated Testing(7-10)'!$J:$J,1)</f>
        <v>0</v>
      </c>
      <c r="F256" s="11"/>
      <c r="G256" s="11"/>
      <c r="H256" s="11"/>
      <c r="I256" s="11"/>
    </row>
    <row r="257" spans="1:9" hidden="1" x14ac:dyDescent="0.3">
      <c r="A257" s="14" t="s">
        <v>162</v>
      </c>
      <c r="B257" s="9" t="s">
        <v>228</v>
      </c>
      <c r="C257" s="14" t="s">
        <v>363</v>
      </c>
      <c r="D257" s="10">
        <v>7</v>
      </c>
      <c r="E257" s="11">
        <f>COUNTIFS('[1]Consolidated Testing(7-10)'!$C:$C,B257,'[1]Consolidated Testing(7-10)'!$G:$G,C257,'[1]Consolidated Testing(7-10)'!$J:$J,1)</f>
        <v>0</v>
      </c>
      <c r="F257" s="11"/>
      <c r="G257" s="11"/>
      <c r="H257" s="11"/>
      <c r="I257" s="11"/>
    </row>
    <row r="258" spans="1:9" hidden="1" x14ac:dyDescent="0.3">
      <c r="A258" s="14" t="s">
        <v>162</v>
      </c>
      <c r="B258" s="9" t="s">
        <v>228</v>
      </c>
      <c r="C258" s="14" t="s">
        <v>364</v>
      </c>
      <c r="D258" s="10">
        <v>10</v>
      </c>
      <c r="E258" s="11">
        <f>COUNTIFS('[1]Consolidated Testing(7-10)'!$C:$C,B258,'[1]Consolidated Testing(7-10)'!$G:$G,C258,'[1]Consolidated Testing(7-10)'!$J:$J,1)</f>
        <v>0</v>
      </c>
      <c r="F258" s="11"/>
      <c r="G258" s="11"/>
      <c r="H258" s="11"/>
      <c r="I258" s="11"/>
    </row>
    <row r="259" spans="1:9" hidden="1" x14ac:dyDescent="0.3">
      <c r="A259" s="14" t="s">
        <v>162</v>
      </c>
      <c r="B259" s="9" t="s">
        <v>228</v>
      </c>
      <c r="C259" s="14" t="s">
        <v>365</v>
      </c>
      <c r="D259" s="10">
        <v>10</v>
      </c>
      <c r="E259" s="11">
        <f>COUNTIFS('[1]Consolidated Testing(7-10)'!$C:$C,B259,'[1]Consolidated Testing(7-10)'!$G:$G,C259,'[1]Consolidated Testing(7-10)'!$J:$J,1)</f>
        <v>0</v>
      </c>
      <c r="F259" s="11"/>
      <c r="G259" s="11"/>
      <c r="H259" s="11"/>
      <c r="I259" s="11"/>
    </row>
    <row r="260" spans="1:9" hidden="1" x14ac:dyDescent="0.3">
      <c r="A260" s="14" t="s">
        <v>162</v>
      </c>
      <c r="B260" s="9" t="s">
        <v>228</v>
      </c>
      <c r="C260" s="14" t="s">
        <v>366</v>
      </c>
      <c r="D260" s="10">
        <v>4</v>
      </c>
      <c r="E260" s="11">
        <f>COUNTIFS('[1]Consolidated Testing(7-10)'!$C:$C,B260,'[1]Consolidated Testing(7-10)'!$G:$G,C260,'[1]Consolidated Testing(7-10)'!$J:$J,1)</f>
        <v>1</v>
      </c>
      <c r="F260" s="11" t="e" cm="1" vm="81">
        <f t="array" aca="1" ref="F260" ca="1">[2]Macro_Commentary_Classification!$C$2:$C$46</f>
        <v>#VALUE!</v>
      </c>
      <c r="G260" s="11"/>
      <c r="H260" s="11"/>
      <c r="I260" s="11"/>
    </row>
    <row r="261" spans="1:9" hidden="1" x14ac:dyDescent="0.3">
      <c r="A261" s="14" t="s">
        <v>162</v>
      </c>
      <c r="B261" s="9" t="s">
        <v>228</v>
      </c>
      <c r="C261" s="14" t="s">
        <v>367</v>
      </c>
      <c r="D261" s="10">
        <v>10</v>
      </c>
      <c r="E261" s="11">
        <f>COUNTIFS('[1]Consolidated Testing(7-10)'!$C:$C,B261,'[1]Consolidated Testing(7-10)'!$G:$G,C261,'[1]Consolidated Testing(7-10)'!$J:$J,1)</f>
        <v>0</v>
      </c>
      <c r="F261" s="11"/>
      <c r="G261" s="11"/>
      <c r="H261" s="11"/>
      <c r="I261" s="11"/>
    </row>
    <row r="262" spans="1:9" hidden="1" x14ac:dyDescent="0.3">
      <c r="A262" s="14" t="s">
        <v>100</v>
      </c>
      <c r="B262" s="8" t="s">
        <v>124</v>
      </c>
      <c r="C262" s="14" t="s">
        <v>368</v>
      </c>
      <c r="D262" s="10">
        <v>5</v>
      </c>
      <c r="E262" s="11">
        <f>COUNTIFS('[1]Consolidated Testing(7-10)'!$C:$C,B262,'[1]Consolidated Testing(7-10)'!$G:$G,C262,'[1]Consolidated Testing(7-10)'!$J:$J,1)</f>
        <v>0</v>
      </c>
      <c r="F262" s="11"/>
      <c r="G262" s="11"/>
      <c r="H262" s="11"/>
      <c r="I262" s="11"/>
    </row>
    <row r="263" spans="1:9" hidden="1" x14ac:dyDescent="0.3">
      <c r="A263" s="14" t="s">
        <v>162</v>
      </c>
      <c r="B263" s="8" t="s">
        <v>111</v>
      </c>
      <c r="C263" s="14" t="s">
        <v>369</v>
      </c>
      <c r="D263" s="10">
        <v>5</v>
      </c>
      <c r="E263" s="11">
        <f>COUNTIFS('[1]Consolidated Testing(7-10)'!$C:$C,B263,'[1]Consolidated Testing(7-10)'!$G:$G,C263,'[1]Consolidated Testing(7-10)'!$J:$J,1)</f>
        <v>1</v>
      </c>
      <c r="F263" s="11" t="e" cm="1" vm="81">
        <f t="array" aca="1" ref="F263" ca="1">[2]Macro_Commentary_Classification!$C$2:$C$46</f>
        <v>#VALUE!</v>
      </c>
      <c r="G263" s="11"/>
      <c r="H263" s="11"/>
      <c r="I263" s="11"/>
    </row>
    <row r="264" spans="1:9" hidden="1" x14ac:dyDescent="0.3">
      <c r="A264" s="14" t="s">
        <v>113</v>
      </c>
      <c r="B264" s="8" t="s">
        <v>124</v>
      </c>
      <c r="C264" s="14" t="s">
        <v>370</v>
      </c>
      <c r="D264" s="13">
        <v>9</v>
      </c>
      <c r="E264" s="11">
        <f>COUNTIFS('[1]Consolidated Testing(7-10)'!$C:$C,B264,'[1]Consolidated Testing(7-10)'!$G:$G,C264,'[1]Consolidated Testing(7-10)'!$J:$J,1)</f>
        <v>0</v>
      </c>
      <c r="F264" s="11"/>
      <c r="G264" s="11"/>
      <c r="H264" s="11"/>
      <c r="I264" s="11"/>
    </row>
    <row r="265" spans="1:9" hidden="1" x14ac:dyDescent="0.3">
      <c r="A265" s="14" t="s">
        <v>100</v>
      </c>
      <c r="B265" s="9" t="s">
        <v>371</v>
      </c>
      <c r="C265" s="14" t="s">
        <v>372</v>
      </c>
      <c r="D265" s="10">
        <v>13</v>
      </c>
      <c r="E265" s="11">
        <f>COUNTIFS('[1]Consolidated Testing(7-10)'!$C:$C,B265,'[1]Consolidated Testing(7-10)'!$G:$G,C265,'[1]Consolidated Testing(7-10)'!$J:$J,1)</f>
        <v>0</v>
      </c>
      <c r="F265" s="11"/>
      <c r="G265" s="11"/>
      <c r="H265" s="11"/>
      <c r="I265" s="11"/>
    </row>
    <row r="266" spans="1:9" hidden="1" x14ac:dyDescent="0.3">
      <c r="A266" s="14" t="s">
        <v>100</v>
      </c>
      <c r="B266" s="9" t="s">
        <v>371</v>
      </c>
      <c r="C266" s="14" t="s">
        <v>373</v>
      </c>
      <c r="D266" s="10">
        <v>14</v>
      </c>
      <c r="E266" s="11">
        <f>COUNTIFS('[1]Consolidated Testing(7-10)'!$C:$C,B266,'[1]Consolidated Testing(7-10)'!$G:$G,C266,'[1]Consolidated Testing(7-10)'!$J:$J,1)</f>
        <v>0</v>
      </c>
      <c r="F266" s="11"/>
      <c r="G266" s="11"/>
      <c r="H266" s="11"/>
      <c r="I266" s="11"/>
    </row>
    <row r="267" spans="1:9" hidden="1" x14ac:dyDescent="0.3">
      <c r="A267" s="14" t="s">
        <v>113</v>
      </c>
      <c r="B267" s="8" t="s">
        <v>371</v>
      </c>
      <c r="C267" s="14" t="s">
        <v>374</v>
      </c>
      <c r="D267" s="13">
        <v>5</v>
      </c>
      <c r="E267" s="11">
        <f>COUNTIFS('[1]Consolidated Testing(7-10)'!$C:$C,B267,'[1]Consolidated Testing(7-10)'!$G:$G,C267,'[1]Consolidated Testing(7-10)'!$J:$J,1)</f>
        <v>0</v>
      </c>
      <c r="F267" s="11"/>
      <c r="G267" s="11"/>
      <c r="H267" s="11"/>
      <c r="I267" s="11"/>
    </row>
    <row r="268" spans="1:9" hidden="1" x14ac:dyDescent="0.3">
      <c r="A268" s="14" t="s">
        <v>162</v>
      </c>
      <c r="B268" s="9" t="s">
        <v>228</v>
      </c>
      <c r="C268" s="14" t="s">
        <v>375</v>
      </c>
      <c r="D268" s="10">
        <v>10</v>
      </c>
      <c r="E268" s="11">
        <f>COUNTIFS('[1]Consolidated Testing(7-10)'!$C:$C,B268,'[1]Consolidated Testing(7-10)'!$G:$G,C268,'[1]Consolidated Testing(7-10)'!$J:$J,1)</f>
        <v>2</v>
      </c>
      <c r="F268" s="11" t="e" cm="1" vm="81">
        <f t="array" aca="1" ref="F268" ca="1">[2]Macro_Commentary_Classification!$C$2:$C$46</f>
        <v>#VALUE!</v>
      </c>
      <c r="G268" s="11"/>
      <c r="H268" s="11"/>
      <c r="I268" s="11"/>
    </row>
    <row r="269" spans="1:9" hidden="1" x14ac:dyDescent="0.3">
      <c r="A269" s="14" t="s">
        <v>162</v>
      </c>
      <c r="B269" s="16" t="s">
        <v>371</v>
      </c>
      <c r="C269" s="20" t="s">
        <v>376</v>
      </c>
      <c r="D269" s="17">
        <v>13</v>
      </c>
      <c r="E269" s="11">
        <f>COUNTIFS('[1]Consolidated Testing(7-10)'!$C:$C,B269,'[1]Consolidated Testing(7-10)'!$G:$G,C269,'[1]Consolidated Testing(7-10)'!$J:$J,1)</f>
        <v>2</v>
      </c>
      <c r="F269" s="11" t="e" cm="1" vm="81">
        <f t="array" aca="1" ref="F269" ca="1">[2]Macro_Commentary_Classification!$C$2:$C$46</f>
        <v>#VALUE!</v>
      </c>
      <c r="G269" s="11"/>
      <c r="H269" s="11"/>
      <c r="I269" s="11"/>
    </row>
  </sheetData>
  <pageMargins left="0.2361111111111111" right="0.2361111111111111" top="0.75" bottom="0.75" header="0.31944444444444442" footer="0.31944444444444442"/>
  <pageSetup orientation="landscape" r:id="rId1"/>
  <headerFooter>
    <oddFooter>&amp;CPage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FS Consolidated 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Chopra, Harshit</cp:lastModifiedBy>
  <dcterms:created xsi:type="dcterms:W3CDTF">2025-08-08T11:32:40Z</dcterms:created>
  <dcterms:modified xsi:type="dcterms:W3CDTF">2025-08-08T12:10:50Z</dcterms:modified>
</cp:coreProperties>
</file>